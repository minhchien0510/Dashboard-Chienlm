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asangroup-my.sharepoint.com/personal/chienlm_msc_masangroup_com/Documents/Desktop/Chiến_Dashboard/data/"/>
    </mc:Choice>
  </mc:AlternateContent>
  <xr:revisionPtr revIDLastSave="123" documentId="13_ncr:1_{69CA6AAE-C5E7-4F5E-AE15-5A73AB5F5C0C}" xr6:coauthVersionLast="47" xr6:coauthVersionMax="47" xr10:uidLastSave="{F225D1AE-7013-4123-A3CD-3779FE88FA59}"/>
  <bookViews>
    <workbookView xWindow="-110" yWindow="-110" windowWidth="19420" windowHeight="10300" firstSheet="1" activeTab="1" xr2:uid="{00000000-000D-0000-FFFF-FFFF00000000}"/>
  </bookViews>
  <sheets>
    <sheet name="NPP Sup DDKD" sheetId="1" r:id="rId1"/>
    <sheet name="Sheet1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5" i="1" l="1"/>
  <c r="K95" i="1" s="1"/>
  <c r="J93" i="1"/>
  <c r="K93" i="1" s="1"/>
  <c r="J91" i="1"/>
  <c r="K91" i="1" s="1"/>
  <c r="J90" i="1"/>
  <c r="K90" i="1" s="1"/>
  <c r="J88" i="1"/>
  <c r="K88" i="1" s="1"/>
  <c r="J87" i="1"/>
  <c r="K87" i="1" s="1"/>
  <c r="J85" i="1"/>
  <c r="K85" i="1" s="1"/>
  <c r="J84" i="1"/>
  <c r="K84" i="1" s="1"/>
  <c r="J83" i="1"/>
  <c r="K83" i="1" s="1"/>
  <c r="J82" i="1"/>
  <c r="K82" i="1" s="1"/>
  <c r="J81" i="1"/>
  <c r="K81" i="1" s="1"/>
  <c r="J75" i="1"/>
  <c r="J71" i="1"/>
  <c r="K71" i="1" s="1"/>
  <c r="J70" i="1"/>
  <c r="K70" i="1" s="1"/>
  <c r="J69" i="1"/>
  <c r="K69" i="1" s="1"/>
  <c r="J68" i="1"/>
  <c r="K68" i="1" s="1"/>
  <c r="J61" i="1"/>
  <c r="K61" i="1" s="1"/>
  <c r="J60" i="1"/>
  <c r="K60" i="1" s="1"/>
  <c r="J59" i="1"/>
  <c r="K59" i="1" s="1"/>
  <c r="J55" i="1"/>
  <c r="K55" i="1" s="1"/>
  <c r="J54" i="1"/>
  <c r="K54" i="1" s="1"/>
  <c r="J53" i="1"/>
  <c r="K53" i="1" s="1"/>
  <c r="J52" i="1"/>
  <c r="K52" i="1" s="1"/>
  <c r="J50" i="1"/>
  <c r="K50" i="1" s="1"/>
  <c r="J48" i="1"/>
  <c r="K48" i="1" s="1"/>
  <c r="J45" i="1"/>
  <c r="K45" i="1" s="1"/>
  <c r="J44" i="1"/>
  <c r="K44" i="1" s="1"/>
  <c r="J43" i="1"/>
  <c r="K43" i="1" s="1"/>
  <c r="J41" i="1"/>
  <c r="K41" i="1" s="1"/>
  <c r="J39" i="1"/>
  <c r="K39" i="1" s="1"/>
  <c r="J38" i="1"/>
  <c r="K38" i="1" s="1"/>
  <c r="J36" i="1"/>
  <c r="K36" i="1" s="1"/>
  <c r="J35" i="1"/>
  <c r="K35" i="1" s="1"/>
  <c r="J34" i="1"/>
  <c r="K34" i="1" s="1"/>
  <c r="J33" i="1"/>
  <c r="K33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4" i="1"/>
  <c r="K24" i="1" s="1"/>
  <c r="J23" i="1"/>
  <c r="K23" i="1" s="1"/>
  <c r="J19" i="1"/>
  <c r="K19" i="1" s="1"/>
  <c r="J17" i="1"/>
  <c r="K17" i="1" s="1"/>
  <c r="J16" i="1"/>
  <c r="K16" i="1" s="1"/>
  <c r="J15" i="1"/>
  <c r="K15" i="1" s="1"/>
  <c r="J11" i="1"/>
  <c r="J96" i="1"/>
  <c r="K96" i="1" s="1"/>
  <c r="I96" i="1"/>
  <c r="H96" i="1"/>
  <c r="F96" i="1"/>
  <c r="E96" i="1"/>
  <c r="I95" i="1"/>
  <c r="H95" i="1"/>
  <c r="F95" i="1"/>
  <c r="E95" i="1"/>
  <c r="G95" i="1" s="1"/>
  <c r="J94" i="1"/>
  <c r="K94" i="1" s="1"/>
  <c r="I94" i="1"/>
  <c r="H94" i="1"/>
  <c r="F94" i="1"/>
  <c r="E94" i="1"/>
  <c r="G94" i="1" s="1"/>
  <c r="I93" i="1"/>
  <c r="H93" i="1"/>
  <c r="F93" i="1"/>
  <c r="E93" i="1"/>
  <c r="G93" i="1" s="1"/>
  <c r="J92" i="1"/>
  <c r="K92" i="1" s="1"/>
  <c r="I92" i="1"/>
  <c r="H92" i="1"/>
  <c r="F92" i="1"/>
  <c r="E92" i="1"/>
  <c r="I91" i="1"/>
  <c r="H91" i="1"/>
  <c r="F91" i="1"/>
  <c r="E91" i="1"/>
  <c r="I90" i="1"/>
  <c r="H90" i="1"/>
  <c r="F90" i="1"/>
  <c r="E90" i="1"/>
  <c r="J89" i="1"/>
  <c r="K89" i="1" s="1"/>
  <c r="I89" i="1"/>
  <c r="H89" i="1"/>
  <c r="F89" i="1"/>
  <c r="E89" i="1"/>
  <c r="I88" i="1"/>
  <c r="H88" i="1"/>
  <c r="F88" i="1"/>
  <c r="E88" i="1"/>
  <c r="I87" i="1"/>
  <c r="H87" i="1"/>
  <c r="F87" i="1"/>
  <c r="E87" i="1"/>
  <c r="I86" i="1"/>
  <c r="H86" i="1"/>
  <c r="F86" i="1"/>
  <c r="E86" i="1"/>
  <c r="I85" i="1"/>
  <c r="H85" i="1"/>
  <c r="F85" i="1"/>
  <c r="E85" i="1"/>
  <c r="I84" i="1"/>
  <c r="H84" i="1"/>
  <c r="F84" i="1"/>
  <c r="E84" i="1"/>
  <c r="I83" i="1"/>
  <c r="H83" i="1"/>
  <c r="F83" i="1"/>
  <c r="E83" i="1"/>
  <c r="I82" i="1"/>
  <c r="H82" i="1"/>
  <c r="F82" i="1"/>
  <c r="E82" i="1"/>
  <c r="I81" i="1"/>
  <c r="H81" i="1"/>
  <c r="F81" i="1"/>
  <c r="E81" i="1"/>
  <c r="I80" i="1"/>
  <c r="H80" i="1"/>
  <c r="F80" i="1"/>
  <c r="E80" i="1"/>
  <c r="I79" i="1"/>
  <c r="H79" i="1"/>
  <c r="F79" i="1"/>
  <c r="E79" i="1"/>
  <c r="J78" i="1"/>
  <c r="K78" i="1" s="1"/>
  <c r="I78" i="1"/>
  <c r="H78" i="1"/>
  <c r="F78" i="1"/>
  <c r="E78" i="1"/>
  <c r="I77" i="1"/>
  <c r="H77" i="1"/>
  <c r="F77" i="1"/>
  <c r="E77" i="1"/>
  <c r="J76" i="1"/>
  <c r="K76" i="1" s="1"/>
  <c r="I76" i="1"/>
  <c r="H76" i="1"/>
  <c r="F76" i="1"/>
  <c r="E76" i="1"/>
  <c r="I75" i="1"/>
  <c r="H75" i="1"/>
  <c r="F75" i="1"/>
  <c r="E75" i="1"/>
  <c r="I74" i="1"/>
  <c r="H74" i="1"/>
  <c r="F74" i="1"/>
  <c r="E74" i="1"/>
  <c r="J73" i="1"/>
  <c r="K73" i="1" s="1"/>
  <c r="I73" i="1"/>
  <c r="H73" i="1"/>
  <c r="F73" i="1"/>
  <c r="E73" i="1"/>
  <c r="J72" i="1"/>
  <c r="K72" i="1" s="1"/>
  <c r="I72" i="1"/>
  <c r="H72" i="1"/>
  <c r="F72" i="1"/>
  <c r="E72" i="1"/>
  <c r="I71" i="1"/>
  <c r="H71" i="1"/>
  <c r="F71" i="1"/>
  <c r="E71" i="1"/>
  <c r="I70" i="1"/>
  <c r="H70" i="1"/>
  <c r="F70" i="1"/>
  <c r="E70" i="1"/>
  <c r="I69" i="1"/>
  <c r="H69" i="1"/>
  <c r="F69" i="1"/>
  <c r="E69" i="1"/>
  <c r="I68" i="1"/>
  <c r="H68" i="1"/>
  <c r="F68" i="1"/>
  <c r="E68" i="1"/>
  <c r="I67" i="1"/>
  <c r="H67" i="1"/>
  <c r="F67" i="1"/>
  <c r="E67" i="1"/>
  <c r="I66" i="1"/>
  <c r="H66" i="1"/>
  <c r="F66" i="1"/>
  <c r="E66" i="1"/>
  <c r="J65" i="1"/>
  <c r="K65" i="1" s="1"/>
  <c r="I65" i="1"/>
  <c r="H65" i="1"/>
  <c r="F65" i="1"/>
  <c r="E65" i="1"/>
  <c r="J64" i="1"/>
  <c r="K64" i="1" s="1"/>
  <c r="I64" i="1"/>
  <c r="H64" i="1"/>
  <c r="F64" i="1"/>
  <c r="E64" i="1"/>
  <c r="J63" i="1"/>
  <c r="K63" i="1" s="1"/>
  <c r="I63" i="1"/>
  <c r="H63" i="1"/>
  <c r="F63" i="1"/>
  <c r="E63" i="1"/>
  <c r="G63" i="1" s="1"/>
  <c r="J62" i="1"/>
  <c r="K62" i="1" s="1"/>
  <c r="I62" i="1"/>
  <c r="H62" i="1"/>
  <c r="F62" i="1"/>
  <c r="E62" i="1"/>
  <c r="I61" i="1"/>
  <c r="H61" i="1"/>
  <c r="F61" i="1"/>
  <c r="E61" i="1"/>
  <c r="I60" i="1"/>
  <c r="H60" i="1"/>
  <c r="F60" i="1"/>
  <c r="E60" i="1"/>
  <c r="I59" i="1"/>
  <c r="H59" i="1"/>
  <c r="F59" i="1"/>
  <c r="E59" i="1"/>
  <c r="I58" i="1"/>
  <c r="H58" i="1"/>
  <c r="F58" i="1"/>
  <c r="E58" i="1"/>
  <c r="I57" i="1"/>
  <c r="H57" i="1"/>
  <c r="F57" i="1"/>
  <c r="E57" i="1"/>
  <c r="J56" i="1"/>
  <c r="K56" i="1" s="1"/>
  <c r="I56" i="1"/>
  <c r="H56" i="1"/>
  <c r="F56" i="1"/>
  <c r="E56" i="1"/>
  <c r="I55" i="1"/>
  <c r="H55" i="1"/>
  <c r="F55" i="1"/>
  <c r="E55" i="1"/>
  <c r="I54" i="1"/>
  <c r="H54" i="1"/>
  <c r="F54" i="1"/>
  <c r="E54" i="1"/>
  <c r="I53" i="1"/>
  <c r="H53" i="1"/>
  <c r="F53" i="1"/>
  <c r="E53" i="1"/>
  <c r="I52" i="1"/>
  <c r="H52" i="1"/>
  <c r="F52" i="1"/>
  <c r="E52" i="1"/>
  <c r="J51" i="1"/>
  <c r="K51" i="1" s="1"/>
  <c r="I51" i="1"/>
  <c r="H51" i="1"/>
  <c r="F51" i="1"/>
  <c r="E51" i="1"/>
  <c r="I50" i="1"/>
  <c r="H50" i="1"/>
  <c r="F50" i="1"/>
  <c r="E50" i="1"/>
  <c r="G50" i="1" s="1"/>
  <c r="J49" i="1"/>
  <c r="K49" i="1" s="1"/>
  <c r="I49" i="1"/>
  <c r="H49" i="1"/>
  <c r="F49" i="1"/>
  <c r="E49" i="1"/>
  <c r="I48" i="1"/>
  <c r="H48" i="1"/>
  <c r="F48" i="1"/>
  <c r="E48" i="1"/>
  <c r="I47" i="1"/>
  <c r="H47" i="1"/>
  <c r="F47" i="1"/>
  <c r="E47" i="1"/>
  <c r="I46" i="1"/>
  <c r="H46" i="1"/>
  <c r="F46" i="1"/>
  <c r="E46" i="1"/>
  <c r="I45" i="1"/>
  <c r="H45" i="1"/>
  <c r="F45" i="1"/>
  <c r="E45" i="1"/>
  <c r="I44" i="1"/>
  <c r="H44" i="1"/>
  <c r="F44" i="1"/>
  <c r="E44" i="1"/>
  <c r="I43" i="1"/>
  <c r="H43" i="1"/>
  <c r="F43" i="1"/>
  <c r="E43" i="1"/>
  <c r="J42" i="1"/>
  <c r="K42" i="1" s="1"/>
  <c r="I42" i="1"/>
  <c r="H42" i="1"/>
  <c r="F42" i="1"/>
  <c r="E42" i="1"/>
  <c r="I41" i="1"/>
  <c r="H41" i="1"/>
  <c r="F41" i="1"/>
  <c r="E41" i="1"/>
  <c r="J40" i="1"/>
  <c r="K40" i="1" s="1"/>
  <c r="I40" i="1"/>
  <c r="H40" i="1"/>
  <c r="F40" i="1"/>
  <c r="E40" i="1"/>
  <c r="I39" i="1"/>
  <c r="H39" i="1"/>
  <c r="F39" i="1"/>
  <c r="E39" i="1"/>
  <c r="I38" i="1"/>
  <c r="H38" i="1"/>
  <c r="F38" i="1"/>
  <c r="E38" i="1"/>
  <c r="I37" i="1"/>
  <c r="H37" i="1"/>
  <c r="F37" i="1"/>
  <c r="E37" i="1"/>
  <c r="I36" i="1"/>
  <c r="H36" i="1"/>
  <c r="F36" i="1"/>
  <c r="E36" i="1"/>
  <c r="I35" i="1"/>
  <c r="H35" i="1"/>
  <c r="F35" i="1"/>
  <c r="E35" i="1"/>
  <c r="I34" i="1"/>
  <c r="H34" i="1"/>
  <c r="F34" i="1"/>
  <c r="E34" i="1"/>
  <c r="I33" i="1"/>
  <c r="H33" i="1"/>
  <c r="F33" i="1"/>
  <c r="E33" i="1"/>
  <c r="I32" i="1"/>
  <c r="H32" i="1"/>
  <c r="F32" i="1"/>
  <c r="E32" i="1"/>
  <c r="I31" i="1"/>
  <c r="H31" i="1"/>
  <c r="F31" i="1"/>
  <c r="E31" i="1"/>
  <c r="I30" i="1"/>
  <c r="H30" i="1"/>
  <c r="F30" i="1"/>
  <c r="E30" i="1"/>
  <c r="I29" i="1"/>
  <c r="H29" i="1"/>
  <c r="F29" i="1"/>
  <c r="E29" i="1"/>
  <c r="I28" i="1"/>
  <c r="H28" i="1"/>
  <c r="F28" i="1"/>
  <c r="E28" i="1"/>
  <c r="I27" i="1"/>
  <c r="H27" i="1"/>
  <c r="F27" i="1"/>
  <c r="E27" i="1"/>
  <c r="I26" i="1"/>
  <c r="H26" i="1"/>
  <c r="F26" i="1"/>
  <c r="E26" i="1"/>
  <c r="I25" i="1"/>
  <c r="H25" i="1"/>
  <c r="F25" i="1"/>
  <c r="E25" i="1"/>
  <c r="I24" i="1"/>
  <c r="H24" i="1"/>
  <c r="F24" i="1"/>
  <c r="E24" i="1"/>
  <c r="I23" i="1"/>
  <c r="H23" i="1"/>
  <c r="F23" i="1"/>
  <c r="E23" i="1"/>
  <c r="J22" i="1"/>
  <c r="K22" i="1" s="1"/>
  <c r="I22" i="1"/>
  <c r="H22" i="1"/>
  <c r="F22" i="1"/>
  <c r="E22" i="1"/>
  <c r="J21" i="1"/>
  <c r="K21" i="1" s="1"/>
  <c r="I21" i="1"/>
  <c r="H21" i="1"/>
  <c r="F21" i="1"/>
  <c r="E21" i="1"/>
  <c r="J20" i="1"/>
  <c r="K20" i="1" s="1"/>
  <c r="I20" i="1"/>
  <c r="H20" i="1"/>
  <c r="F20" i="1"/>
  <c r="E20" i="1"/>
  <c r="I19" i="1"/>
  <c r="H19" i="1"/>
  <c r="F19" i="1"/>
  <c r="E19" i="1"/>
  <c r="I18" i="1"/>
  <c r="H18" i="1"/>
  <c r="F18" i="1"/>
  <c r="E18" i="1"/>
  <c r="I17" i="1"/>
  <c r="H17" i="1"/>
  <c r="F17" i="1"/>
  <c r="E17" i="1"/>
  <c r="I16" i="1"/>
  <c r="H16" i="1"/>
  <c r="F16" i="1"/>
  <c r="E16" i="1"/>
  <c r="I15" i="1"/>
  <c r="H15" i="1"/>
  <c r="F15" i="1"/>
  <c r="E15" i="1"/>
  <c r="I14" i="1"/>
  <c r="H14" i="1"/>
  <c r="F14" i="1"/>
  <c r="E14" i="1"/>
  <c r="J13" i="1"/>
  <c r="K13" i="1" s="1"/>
  <c r="I13" i="1"/>
  <c r="H13" i="1"/>
  <c r="F13" i="1"/>
  <c r="E13" i="1"/>
  <c r="I12" i="1"/>
  <c r="H12" i="1"/>
  <c r="F12" i="1"/>
  <c r="E12" i="1"/>
  <c r="I11" i="1"/>
  <c r="H11" i="1"/>
  <c r="F11" i="1"/>
  <c r="E11" i="1"/>
  <c r="G17" i="1" l="1"/>
  <c r="G19" i="1"/>
  <c r="G59" i="1"/>
  <c r="G61" i="1"/>
  <c r="G70" i="1"/>
  <c r="G81" i="1"/>
  <c r="G83" i="1"/>
  <c r="G85" i="1"/>
  <c r="G87" i="1"/>
  <c r="G47" i="1"/>
  <c r="G92" i="1"/>
  <c r="G13" i="1"/>
  <c r="G24" i="1"/>
  <c r="G28" i="1"/>
  <c r="G30" i="1"/>
  <c r="G32" i="1"/>
  <c r="G33" i="1"/>
  <c r="G78" i="1"/>
  <c r="G35" i="1"/>
  <c r="G27" i="1"/>
  <c r="G29" i="1"/>
  <c r="G54" i="1"/>
  <c r="G20" i="1"/>
  <c r="G60" i="1"/>
  <c r="G62" i="1"/>
  <c r="G69" i="1"/>
  <c r="G84" i="1"/>
  <c r="G88" i="1"/>
  <c r="J57" i="1"/>
  <c r="K57" i="1" s="1"/>
  <c r="G34" i="1"/>
  <c r="G36" i="1"/>
  <c r="G53" i="1"/>
  <c r="G71" i="1"/>
  <c r="G16" i="1"/>
  <c r="G42" i="1"/>
  <c r="G55" i="1"/>
  <c r="J18" i="1"/>
  <c r="K18" i="1" s="1"/>
  <c r="J26" i="1"/>
  <c r="J77" i="1"/>
  <c r="K77" i="1" s="1"/>
  <c r="J86" i="1"/>
  <c r="K86" i="1" s="1"/>
  <c r="J37" i="1"/>
  <c r="K37" i="1" s="1"/>
  <c r="J80" i="1"/>
  <c r="K80" i="1" s="1"/>
  <c r="J25" i="1"/>
  <c r="K25" i="1" s="1"/>
  <c r="J58" i="1"/>
  <c r="K58" i="1" s="1"/>
  <c r="J66" i="1"/>
  <c r="K66" i="1" s="1"/>
  <c r="J74" i="1"/>
  <c r="K74" i="1" s="1"/>
  <c r="J67" i="1"/>
  <c r="K67" i="1" s="1"/>
  <c r="J12" i="1"/>
  <c r="K12" i="1" s="1"/>
  <c r="J79" i="1"/>
  <c r="K79" i="1" s="1"/>
  <c r="B6" i="1"/>
  <c r="B8" i="1" s="1"/>
  <c r="J14" i="1"/>
  <c r="K14" i="1" s="1"/>
  <c r="G23" i="1"/>
  <c r="G31" i="1"/>
  <c r="G39" i="1"/>
  <c r="G44" i="1"/>
  <c r="G48" i="1"/>
  <c r="G64" i="1"/>
  <c r="G72" i="1"/>
  <c r="G52" i="1"/>
  <c r="G68" i="1"/>
  <c r="G96" i="1"/>
  <c r="G91" i="1"/>
  <c r="G90" i="1"/>
  <c r="G89" i="1"/>
  <c r="G82" i="1"/>
  <c r="G77" i="1"/>
  <c r="G76" i="1"/>
  <c r="G73" i="1"/>
  <c r="G65" i="1"/>
  <c r="G56" i="1"/>
  <c r="G51" i="1"/>
  <c r="G49" i="1"/>
  <c r="G43" i="1"/>
  <c r="G40" i="1"/>
  <c r="G38" i="1"/>
  <c r="G22" i="1"/>
  <c r="G15" i="1"/>
  <c r="G14" i="1"/>
  <c r="G41" i="1"/>
  <c r="G21" i="1"/>
  <c r="G45" i="1"/>
  <c r="G86" i="1"/>
  <c r="G46" i="1"/>
  <c r="J47" i="1"/>
  <c r="K47" i="1" s="1"/>
  <c r="J46" i="1"/>
  <c r="G80" i="1"/>
  <c r="G79" i="1"/>
  <c r="K75" i="1"/>
  <c r="G75" i="1"/>
  <c r="G74" i="1"/>
  <c r="G67" i="1"/>
  <c r="G66" i="1"/>
  <c r="G58" i="1"/>
  <c r="G57" i="1"/>
  <c r="G37" i="1"/>
  <c r="K26" i="1"/>
  <c r="G26" i="1"/>
  <c r="G25" i="1"/>
  <c r="G18" i="1"/>
  <c r="G12" i="1"/>
  <c r="K11" i="1"/>
  <c r="G11" i="1"/>
  <c r="K46" i="1" l="1"/>
</calcChain>
</file>

<file path=xl/sharedStrings.xml><?xml version="1.0" encoding="utf-8"?>
<sst xmlns="http://schemas.openxmlformats.org/spreadsheetml/2006/main" count="909" uniqueCount="369">
  <si>
    <t>HCM4 – KH BQ tháng ≥20 triệu đang gắn F2/F4</t>
  </si>
  <si>
    <t>Tổng hợp NPP → Sup → DDKD; không cộng chồng các cấp. Đề xuất nâng lịch F8 theo T+3.</t>
  </si>
  <si>
    <t>Số KH</t>
  </si>
  <si>
    <t>BQ tháng nhóm (triệu)</t>
  </si>
  <si>
    <t>BQ tháng HCM4 (triệu)</t>
  </si>
  <si>
    <t>Đóng góp BQ tháng HCM4</t>
  </si>
  <si>
    <t>Cấp</t>
  </si>
  <si>
    <t>NPP</t>
  </si>
  <si>
    <t>Sup</t>
  </si>
  <si>
    <t>DDKD</t>
  </si>
  <si>
    <t>F2 (KH)</t>
  </si>
  <si>
    <t>F4 (KH)</t>
  </si>
  <si>
    <t>Tổng KH</t>
  </si>
  <si>
    <t>Trước RS (KH)</t>
  </si>
  <si>
    <t>Sau RS (KH)</t>
  </si>
  <si>
    <t>BQ tháng (triệu)</t>
  </si>
  <si>
    <t>% BQ HCM4</t>
  </si>
  <si>
    <t>Châu Gia Việt</t>
  </si>
  <si>
    <t>Lê Hoàng Nguyên</t>
  </si>
  <si>
    <t>Lê Hoàng Thanh Bảo</t>
  </si>
  <si>
    <t>Mai Thị Bé Diệu</t>
  </si>
  <si>
    <t>Phạm Thanh Trường</t>
  </si>
  <si>
    <t>Trịnh Văn Minh</t>
  </si>
  <si>
    <t>Đinh Công Truyền</t>
  </si>
  <si>
    <t>Phan Long Hoàng</t>
  </si>
  <si>
    <t>Huỳnh Thu Thuyền</t>
  </si>
  <si>
    <t>Lê Hùng Đức</t>
  </si>
  <si>
    <t>Nguyễn Phước Tài</t>
  </si>
  <si>
    <t>Nguyễn Thị Kim Xuyến</t>
  </si>
  <si>
    <t>Nguyễn Văn Sinh</t>
  </si>
  <si>
    <t>Đỗ Hồng Phúc</t>
  </si>
  <si>
    <t>Minh Phát Thành</t>
  </si>
  <si>
    <t>Lê Thanh Thông</t>
  </si>
  <si>
    <t>Danh Kiệt</t>
  </si>
  <si>
    <t>Lê Võ Nghĩa</t>
  </si>
  <si>
    <t>Lưu Thị Hạnh Nguyên</t>
  </si>
  <si>
    <t>Nguyễn Bảo Duy</t>
  </si>
  <si>
    <t>Nguyễn Thái Dương</t>
  </si>
  <si>
    <t>Nguyễn Thị Thanh Nhàn</t>
  </si>
  <si>
    <t>Nguyễn Thị Thanh Thúy</t>
  </si>
  <si>
    <t>Nguyễn Thị Ánh Trinh</t>
  </si>
  <si>
    <t>Nguyễn Văn Vương</t>
  </si>
  <si>
    <t>Trương Hoàng Việt</t>
  </si>
  <si>
    <t>Nguyễn Thị Tường Vy</t>
  </si>
  <si>
    <t>Huỳnh Hữu Chính</t>
  </si>
  <si>
    <t>Lê Tấn Cường</t>
  </si>
  <si>
    <t>Lý Quốc Mẫn</t>
  </si>
  <si>
    <t>Nguyễn Tấn Trung</t>
  </si>
  <si>
    <t>Nguyễn Tấn Tài</t>
  </si>
  <si>
    <t>Nguyễn Tấn Tươi</t>
  </si>
  <si>
    <t>Trần Đình Cường</t>
  </si>
  <si>
    <t>Đinh Ngọc Thông</t>
  </si>
  <si>
    <t>Trương Thanh Tân</t>
  </si>
  <si>
    <t>Huỳnh Tấn Lý</t>
  </si>
  <si>
    <t>Hàng Thanh Lộc</t>
  </si>
  <si>
    <t>Lê Thị Thơm</t>
  </si>
  <si>
    <t>Mai Thị Linh</t>
  </si>
  <si>
    <t>Nguyễn Trần Bảo Long</t>
  </si>
  <si>
    <t>Nguyễn Văn Đình Chương</t>
  </si>
  <si>
    <t>Ngô Nguyễn Cao Kỳ</t>
  </si>
  <si>
    <t>Trương Hoàng Giang</t>
  </si>
  <si>
    <t>Trần Minh Thành</t>
  </si>
  <si>
    <t>Trần Tấn Tài</t>
  </si>
  <si>
    <t>Quang Vinh Phát</t>
  </si>
  <si>
    <t>Lê Đăng Khoa</t>
  </si>
  <si>
    <t>Bùi Ngọc Sánh</t>
  </si>
  <si>
    <t>Lê Thị Tình</t>
  </si>
  <si>
    <t>Ngô Quí Long</t>
  </si>
  <si>
    <t>Trần Văn Toản</t>
  </si>
  <si>
    <t>Vacant đang tuyển 4810</t>
  </si>
  <si>
    <t>Vacant đang tuyển 4818</t>
  </si>
  <si>
    <t>Vacant đang tuyển 4821</t>
  </si>
  <si>
    <t>Quang Vinh Phát MTV</t>
  </si>
  <si>
    <t>Lê Minh Chiến</t>
  </si>
  <si>
    <t>Lê Ngọc Bảo</t>
  </si>
  <si>
    <t>Lê Văn Minh Thuận</t>
  </si>
  <si>
    <t>Nguyễn Chí Nguyên</t>
  </si>
  <si>
    <t>Nguyễn Lê Quốc Anh</t>
  </si>
  <si>
    <t>Phùng Minh Trí</t>
  </si>
  <si>
    <t>Đoàn Thị Hoàng Ngọc</t>
  </si>
  <si>
    <t>Trịnh Thanh Hà</t>
  </si>
  <si>
    <t>Kiều Trí Thịnh</t>
  </si>
  <si>
    <t>Lê Thị Mai Hạnh</t>
  </si>
  <si>
    <t>Nguyễn Phúc Bảo Hiền</t>
  </si>
  <si>
    <t>Nguyễn Văn Lệ</t>
  </si>
  <si>
    <t>Đại Quang Vinh</t>
  </si>
  <si>
    <t>Lương Đình Hào</t>
  </si>
  <si>
    <t>Lê Thị Bình</t>
  </si>
  <si>
    <t>Lê Thị Thường</t>
  </si>
  <si>
    <t>Phùng Việt Dũng</t>
  </si>
  <si>
    <t>Võ Thị Cẩm Nhung</t>
  </si>
  <si>
    <t>Đỗ Trọng Nghĩa</t>
  </si>
  <si>
    <t>Trần Minh Hải</t>
  </si>
  <si>
    <t>Bạch Thị Thanh Thúy</t>
  </si>
  <si>
    <t>Cao Thị Vân Anh</t>
  </si>
  <si>
    <t>Lê Quang Hải</t>
  </si>
  <si>
    <t>Mai Công Danh</t>
  </si>
  <si>
    <t>Nguyễn Phương Thắng</t>
  </si>
  <si>
    <t>Nguyễn Thành Châu</t>
  </si>
  <si>
    <t>Thái Xuân Đông</t>
  </si>
  <si>
    <t>Trần Thanh Phúc</t>
  </si>
  <si>
    <t>Vũ Chí Công</t>
  </si>
  <si>
    <t>Đào Văn Sơn</t>
  </si>
  <si>
    <t>F8: ngày hiện tại + ngày T+3, thực hiện cả tuần chẵn và tuần lẻ.</t>
  </si>
  <si>
    <t>T2↔T5; T3↔T6; T4↔T7. F2 chuyển F8 cần thêm visit ở tuần chưa có lịch.</t>
  </si>
  <si>
    <t>Trước RS: tạo trước 01/07/2026; sau RS: từ 01/07/2026.</t>
  </si>
  <si>
    <t>Nguồn MCP gửi 23/09; lịch này là đề xuất triển khai, chưa cập nhật MCP.</t>
  </si>
  <si>
    <t>POS</t>
  </si>
  <si>
    <t>Mã KH</t>
  </si>
  <si>
    <t>Tên KH</t>
  </si>
  <si>
    <t>Quỳnh Như</t>
  </si>
  <si>
    <t>Anh Đào</t>
  </si>
  <si>
    <t>ÁNH DƯƠNG</t>
  </si>
  <si>
    <t>SM-FM-10KF3761.06</t>
  </si>
  <si>
    <t>3046451</t>
  </si>
  <si>
    <t>Công Ty Stella</t>
  </si>
  <si>
    <t>SM-FM-10KF3761.16</t>
  </si>
  <si>
    <t>3073841</t>
  </si>
  <si>
    <t>Tạp Hóa Yến Nhung</t>
  </si>
  <si>
    <t>SM-FM-10KF3761.13</t>
  </si>
  <si>
    <t>5906</t>
  </si>
  <si>
    <t>Thái Ngọc</t>
  </si>
  <si>
    <t>SM-FM-10KF3761.14</t>
  </si>
  <si>
    <t>2017721</t>
  </si>
  <si>
    <t>SM-FM-10KF3761.09</t>
  </si>
  <si>
    <t>348563</t>
  </si>
  <si>
    <t>SM-FM-10KF3761.22</t>
  </si>
  <si>
    <t>3041126</t>
  </si>
  <si>
    <t>Tạp Hoá Bà Năm</t>
  </si>
  <si>
    <t>Chị Diễm</t>
  </si>
  <si>
    <t>ngọc ánh</t>
  </si>
  <si>
    <t>Tạp Hóa Dung</t>
  </si>
  <si>
    <t>999257698</t>
  </si>
  <si>
    <t>CHỊ LÝ</t>
  </si>
  <si>
    <t>Lê Thiện An</t>
  </si>
  <si>
    <t>SM-FM-10KF3761.05</t>
  </si>
  <si>
    <t>99997541</t>
  </si>
  <si>
    <t>Nước Ép Trái Cây</t>
  </si>
  <si>
    <t>3062283</t>
  </si>
  <si>
    <t>Cà Phê Thu Thảo</t>
  </si>
  <si>
    <t>Lê Thị Kim Thoa</t>
  </si>
  <si>
    <t>SM-FM-10KF3761.18</t>
  </si>
  <si>
    <t>999752303</t>
  </si>
  <si>
    <t>Tạp Hóa Cô Sương</t>
  </si>
  <si>
    <t>999227317</t>
  </si>
  <si>
    <t>Cô Minh</t>
  </si>
  <si>
    <t>999752031</t>
  </si>
  <si>
    <t>Nhà Trọ Cô Hương Chú Phúc</t>
  </si>
  <si>
    <t>999750579</t>
  </si>
  <si>
    <t>Trà Sữa Cô Phượng</t>
  </si>
  <si>
    <t>99924117</t>
  </si>
  <si>
    <t>Chị Giang</t>
  </si>
  <si>
    <t>999375182</t>
  </si>
  <si>
    <t>Hưng Vân</t>
  </si>
  <si>
    <t>999751648</t>
  </si>
  <si>
    <t>Cafe Giải Khát Chợ Đêm Hòa Lân</t>
  </si>
  <si>
    <t>999161097</t>
  </si>
  <si>
    <t>Tạp Hóa Cô Bình</t>
  </si>
  <si>
    <t>999754422</t>
  </si>
  <si>
    <t>Tạp Hóa Trung Liên</t>
  </si>
  <si>
    <t>99943442</t>
  </si>
  <si>
    <t>Thanh Thảo</t>
  </si>
  <si>
    <t>99928120</t>
  </si>
  <si>
    <t>Cô Linh</t>
  </si>
  <si>
    <t>99937726</t>
  </si>
  <si>
    <t>Cô Thơm</t>
  </si>
  <si>
    <t>95950</t>
  </si>
  <si>
    <t>Kim Thoa</t>
  </si>
  <si>
    <t>999753041</t>
  </si>
  <si>
    <t>Tạp Hóa Taho</t>
  </si>
  <si>
    <t>999178261</t>
  </si>
  <si>
    <t>TH Ngọc Trâm</t>
  </si>
  <si>
    <t>999752879</t>
  </si>
  <si>
    <t>Tạp Hóa Bom</t>
  </si>
  <si>
    <t>99934590</t>
  </si>
  <si>
    <t>Công Ty KN &amp; TC</t>
  </si>
  <si>
    <t>999302179</t>
  </si>
  <si>
    <t>Bách Hoá Tổng Hợp An Nhàn</t>
  </si>
  <si>
    <t>999121721</t>
  </si>
  <si>
    <t>TH PHương Linh</t>
  </si>
  <si>
    <t>999328642</t>
  </si>
  <si>
    <t>TH Thuận</t>
  </si>
  <si>
    <t>999138962</t>
  </si>
  <si>
    <t>TH Quốc Dương</t>
  </si>
  <si>
    <t>999251133</t>
  </si>
  <si>
    <t>TH Kim Oanh 1</t>
  </si>
  <si>
    <t>999304390</t>
  </si>
  <si>
    <t>TH Tường VY</t>
  </si>
  <si>
    <t>999103980</t>
  </si>
  <si>
    <t>Tạp Hoá Quang Tùng</t>
  </si>
  <si>
    <t>999166858</t>
  </si>
  <si>
    <t>TH Mỹ Phẩm Thùy Linh</t>
  </si>
  <si>
    <t>999109852</t>
  </si>
  <si>
    <t>Tạp Hoá Trà Sữa 73</t>
  </si>
  <si>
    <t>999199983</t>
  </si>
  <si>
    <t>Tạp Hoá Cô Nhung</t>
  </si>
  <si>
    <t>999355276</t>
  </si>
  <si>
    <t>TH Chị Thuỷ</t>
  </si>
  <si>
    <t>99923704</t>
  </si>
  <si>
    <t>Tạp Hóa Chị Cúc</t>
  </si>
  <si>
    <t>Nguyễn Hữu Cường</t>
  </si>
  <si>
    <t>SM-FM-10KF3761.12</t>
  </si>
  <si>
    <t>99943245</t>
  </si>
  <si>
    <t>Thanh Bình</t>
  </si>
  <si>
    <t>999325757</t>
  </si>
  <si>
    <t>Minh Hưng</t>
  </si>
  <si>
    <t>999166860</t>
  </si>
  <si>
    <t>TH Hoàng Hương</t>
  </si>
  <si>
    <t>999302834</t>
  </si>
  <si>
    <t>Cô Tư</t>
  </si>
  <si>
    <t>999133977</t>
  </si>
  <si>
    <t>Tạp Hóa Trang</t>
  </si>
  <si>
    <t>999259765</t>
  </si>
  <si>
    <t>Cô Mùa</t>
  </si>
  <si>
    <t>999476951</t>
  </si>
  <si>
    <t>Cà Phê 79</t>
  </si>
  <si>
    <t>999136835</t>
  </si>
  <si>
    <t>Mai Khuê (434)</t>
  </si>
  <si>
    <t>99940505</t>
  </si>
  <si>
    <t>Tú Trinh</t>
  </si>
  <si>
    <t>99990542</t>
  </si>
  <si>
    <t>Thúy Nga</t>
  </si>
  <si>
    <t>999124344</t>
  </si>
  <si>
    <t>Giang Sỹ</t>
  </si>
  <si>
    <t>99996146</t>
  </si>
  <si>
    <t>Thu Hà ( Khu Minh Tuấn)</t>
  </si>
  <si>
    <t>Nguyễn Phước Hậu</t>
  </si>
  <si>
    <t>SM-FM-10KF3761.21</t>
  </si>
  <si>
    <t>999753548</t>
  </si>
  <si>
    <t>Bếp Minh Sơn</t>
  </si>
  <si>
    <t>99946360</t>
  </si>
  <si>
    <t>Tạp Hóa Linh Nguyễn</t>
  </si>
  <si>
    <t>99925973</t>
  </si>
  <si>
    <t>Quán Nước Chị Loan</t>
  </si>
  <si>
    <t>Nguyễn Văn Hận</t>
  </si>
  <si>
    <t>SM-FM-10KF3761.02</t>
  </si>
  <si>
    <t>999728681</t>
  </si>
  <si>
    <t>Tạp Hóa Hoài Thanh</t>
  </si>
  <si>
    <t>99950990</t>
  </si>
  <si>
    <t>Tạp Hóa Gạo Hà My</t>
  </si>
  <si>
    <t>999126351</t>
  </si>
  <si>
    <t>Tạp Hóa Ngọc Nguyên</t>
  </si>
  <si>
    <t>99991318</t>
  </si>
  <si>
    <t>Tạp Hóa Xuân Liên</t>
  </si>
  <si>
    <t>99928187</t>
  </si>
  <si>
    <t>Cà Phê 178</t>
  </si>
  <si>
    <t>999290605</t>
  </si>
  <si>
    <t>Tạp Hóa Diệu</t>
  </si>
  <si>
    <t>Nguyễn Văn Tợn</t>
  </si>
  <si>
    <t>SM-FM-10KF3761.23</t>
  </si>
  <si>
    <t>99918119</t>
  </si>
  <si>
    <t>Tạp hóa Ngọc Ánh</t>
  </si>
  <si>
    <t>99919747</t>
  </si>
  <si>
    <t>Tạp Hóa Năm Cường</t>
  </si>
  <si>
    <t>999106051</t>
  </si>
  <si>
    <t>Tạp hóa Duyên</t>
  </si>
  <si>
    <t>999736706</t>
  </si>
  <si>
    <t>Anh Liêm</t>
  </si>
  <si>
    <t>999171648</t>
  </si>
  <si>
    <t>Hậu Giang</t>
  </si>
  <si>
    <t>Phan Thúy Vân</t>
  </si>
  <si>
    <t>SM-FM-10KF3761.11</t>
  </si>
  <si>
    <t>999123500</t>
  </si>
  <si>
    <t>Tạp hóa mai</t>
  </si>
  <si>
    <t>999138935</t>
  </si>
  <si>
    <t>Chị Huyền</t>
  </si>
  <si>
    <t>999255739</t>
  </si>
  <si>
    <t>Đệ Nhất Quán</t>
  </si>
  <si>
    <t>999123527</t>
  </si>
  <si>
    <t>Hoàng Anh</t>
  </si>
  <si>
    <t>999250523</t>
  </si>
  <si>
    <t>99939134</t>
  </si>
  <si>
    <t>Như Bình</t>
  </si>
  <si>
    <t>999524392</t>
  </si>
  <si>
    <t>Coffee Chí Tài</t>
  </si>
  <si>
    <t>999273942</t>
  </si>
  <si>
    <t>Chị Kiều</t>
  </si>
  <si>
    <t>999370188</t>
  </si>
  <si>
    <t>Tạp Hoá Phong</t>
  </si>
  <si>
    <t>999176918</t>
  </si>
  <si>
    <t>TH Chị Ái</t>
  </si>
  <si>
    <t>999130671</t>
  </si>
  <si>
    <t>Hà Thúy</t>
  </si>
  <si>
    <t>99923635</t>
  </si>
  <si>
    <t>Thái Trường</t>
  </si>
  <si>
    <t>999367792</t>
  </si>
  <si>
    <t>Phạm Quang Thùy Dương</t>
  </si>
  <si>
    <t>SM-FM-10KF3761.04</t>
  </si>
  <si>
    <t>99913695</t>
  </si>
  <si>
    <t>Đăng Khôi</t>
  </si>
  <si>
    <t>99926177</t>
  </si>
  <si>
    <t>999136608</t>
  </si>
  <si>
    <t>Tạp Hoá Cô Hồng</t>
  </si>
  <si>
    <t>Phạm Thị Kim Linh</t>
  </si>
  <si>
    <t>SM-FM-10KF3761.15</t>
  </si>
  <si>
    <t>999107277</t>
  </si>
  <si>
    <t>Ngọc Bảo Phát</t>
  </si>
  <si>
    <t>999154623</t>
  </si>
  <si>
    <t>Quỳnh Thư</t>
  </si>
  <si>
    <t>999243725</t>
  </si>
  <si>
    <t>Chị Xoa</t>
  </si>
  <si>
    <t>999752836</t>
  </si>
  <si>
    <t>Tạp Hóa Hồng Xiêm</t>
  </si>
  <si>
    <t>Trần Công Thành</t>
  </si>
  <si>
    <t>SM-FM-10KF3761.19</t>
  </si>
  <si>
    <t>999131480</t>
  </si>
  <si>
    <t>Tạp Hóa Hoàng Vy</t>
  </si>
  <si>
    <t>99940484</t>
  </si>
  <si>
    <t>999751510</t>
  </si>
  <si>
    <t>Sạp rau Loan</t>
  </si>
  <si>
    <t>Trần Lê Anh Đức</t>
  </si>
  <si>
    <t>SM-FM-10KF3761.07</t>
  </si>
  <si>
    <t>999196004</t>
  </si>
  <si>
    <t>TH Quang Minh</t>
  </si>
  <si>
    <t>3049485</t>
  </si>
  <si>
    <t>Tạp Hóa Phúc Nghi</t>
  </si>
  <si>
    <t>99917340</t>
  </si>
  <si>
    <t>Tạp Hóa Kem Xôi</t>
  </si>
  <si>
    <t>3033684</t>
  </si>
  <si>
    <t>Tạp Hóa Huyền Trang</t>
  </si>
  <si>
    <t>99925772</t>
  </si>
  <si>
    <t>Khánh Linh</t>
  </si>
  <si>
    <t>99917510</t>
  </si>
  <si>
    <t>Kim Ngân</t>
  </si>
  <si>
    <t>Trần Ngọc Trăm</t>
  </si>
  <si>
    <t>SM-FM-10KF3761.17</t>
  </si>
  <si>
    <t>999737336</t>
  </si>
  <si>
    <t>TH Kim Oanh</t>
  </si>
  <si>
    <t>999316357</t>
  </si>
  <si>
    <t>tạp hóa Thảo Ngọc</t>
  </si>
  <si>
    <t>999356187</t>
  </si>
  <si>
    <t>TH Khánh Linh</t>
  </si>
  <si>
    <t>999143004</t>
  </si>
  <si>
    <t>Tạp Hoá Yến Trang</t>
  </si>
  <si>
    <t>Trần Thiện Tú</t>
  </si>
  <si>
    <t>SM-FM-10KF3761.20</t>
  </si>
  <si>
    <t>999127697</t>
  </si>
  <si>
    <t>Tạp Hóa Hà Phúc</t>
  </si>
  <si>
    <t>999190011</t>
  </si>
  <si>
    <t>Tạp Hoá Gạo Kim Ngân</t>
  </si>
  <si>
    <t>999112501</t>
  </si>
  <si>
    <t>Bách Hoá Quỳnh Phát</t>
  </si>
  <si>
    <t>999422252</t>
  </si>
  <si>
    <t>Cà Phê Thượng Uyển</t>
  </si>
  <si>
    <t>99939490</t>
  </si>
  <si>
    <t>Tạp Hoá Vân Huy</t>
  </si>
  <si>
    <t>999313713</t>
  </si>
  <si>
    <t>Tạp Hó Chị Hiền</t>
  </si>
  <si>
    <t>999255617</t>
  </si>
  <si>
    <t>Tạp Hoá Tùng Tư</t>
  </si>
  <si>
    <t>Trịnh Thị Hương</t>
  </si>
  <si>
    <t>SM-FM-10KF3761.10</t>
  </si>
  <si>
    <t>999751357</t>
  </si>
  <si>
    <t>Giò Chả Chị Bằng</t>
  </si>
  <si>
    <t>99920312</t>
  </si>
  <si>
    <t>Duy Hân</t>
  </si>
  <si>
    <t>999314600</t>
  </si>
  <si>
    <t>Tạp Hóa Đại Vụ</t>
  </si>
  <si>
    <t>999103045</t>
  </si>
  <si>
    <t>Tạp hóa Phương Linh</t>
  </si>
  <si>
    <t>999161611</t>
  </si>
  <si>
    <t>Tạp Hóa Phước Thiện</t>
  </si>
  <si>
    <t>999236511</t>
  </si>
  <si>
    <t>TH Chị Trang</t>
  </si>
  <si>
    <t>999128529</t>
  </si>
  <si>
    <t>Tạp Hóa Khánh An</t>
  </si>
  <si>
    <t>999749812</t>
  </si>
  <si>
    <t>Tạp Hóa Chị Vân</t>
  </si>
  <si>
    <t>NGÀY VT KO TÍNH TRÁI TUYẾN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</si>
</sst>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>
    <font>
      <sz val="11"/>
      <name val="Carlito"/>
    </font>
    <font>
      <sz val="11"/>
      <name val="Arial"/>
    </font>
    <font>
      <b/>
      <sz val="11"/>
      <name val="Arial"/>
    </font>
    <font>
      <b/>
      <sz val="16"/>
      <color rgb="FF203E62"/>
      <name val="Arial"/>
    </font>
    <font>
      <b/>
      <sz val="11"/>
      <color rgb="FFFFFFFF"/>
      <name val="Arial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theme="1"/>
      <name val="Arial"/>
      <family val="2"/>
    </font>
    <font>
      <b/>
      <sz val="12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E8F4"/>
      </patternFill>
    </fill>
    <fill>
      <patternFill patternType="solid">
        <fgColor rgb="FFEDF3F7"/>
      </patternFill>
    </fill>
    <fill>
      <patternFill patternType="solid">
        <fgColor rgb="FF203E6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64" fontId="2" fillId="2" borderId="0" xfId="0" applyNumberFormat="1" applyFont="1" applyFill="1" applyAlignment="1">
      <alignment vertical="center"/>
    </xf>
    <xf numFmtId="164" fontId="2" fillId="3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vertical="center"/>
    </xf>
    <xf numFmtId="10" fontId="2" fillId="3" borderId="0" xfId="0" applyNumberFormat="1" applyFont="1" applyFill="1" applyAlignment="1">
      <alignment vertical="center"/>
    </xf>
    <xf numFmtId="0" fontId="7" fillId="5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2"/>
  <sheetViews>
    <sheetView showGridLines="0" workbookViewId="0">
      <pane xSplit="4" ySplit="10" topLeftCell="E13" activePane="bottomRight" state="frozen"/>
      <selection pane="topRight"/>
      <selection pane="bottomLeft"/>
      <selection pane="bottomRight" activeCell="E11" sqref="E11"/>
    </sheetView>
  </sheetViews>
  <sheetFormatPr defaultRowHeight="14"/>
  <cols>
    <col min="1" max="1" width="12" customWidth="1"/>
    <col min="2" max="2" width="25" customWidth="1"/>
    <col min="3" max="3" width="27" customWidth="1"/>
    <col min="4" max="4" width="30" customWidth="1"/>
    <col min="5" max="7" width="12" customWidth="1"/>
    <col min="8" max="8" width="17" customWidth="1"/>
    <col min="9" max="9" width="16" customWidth="1"/>
    <col min="10" max="10" width="23" customWidth="1"/>
    <col min="11" max="11" width="19" customWidth="1"/>
  </cols>
  <sheetData>
    <row r="2" spans="1:11" ht="24" customHeight="1">
      <c r="A2" s="4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4" customHeight="1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4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24" customHeight="1">
      <c r="A5" s="1" t="s">
        <v>2</v>
      </c>
      <c r="B5" s="1">
        <v>167</v>
      </c>
      <c r="C5" s="1"/>
      <c r="D5" s="1"/>
      <c r="E5" s="1"/>
      <c r="F5" s="1"/>
      <c r="G5" s="1"/>
      <c r="H5" s="1"/>
      <c r="I5" s="1"/>
      <c r="J5" s="1"/>
      <c r="K5" s="1"/>
    </row>
    <row r="6" spans="1:11" ht="24" customHeight="1">
      <c r="A6" s="1" t="s">
        <v>3</v>
      </c>
      <c r="B6" s="6" t="e">
        <f>SUM(#REF!)</f>
        <v>#REF!</v>
      </c>
      <c r="C6" s="1"/>
      <c r="D6" s="1"/>
      <c r="E6" s="1"/>
      <c r="F6" s="1"/>
      <c r="G6" s="1"/>
      <c r="H6" s="1"/>
      <c r="I6" s="1"/>
      <c r="J6" s="1"/>
      <c r="K6" s="1"/>
    </row>
    <row r="7" spans="1:11" ht="24" customHeight="1">
      <c r="A7" s="1" t="s">
        <v>4</v>
      </c>
      <c r="B7" s="6">
        <v>124278.90285173641</v>
      </c>
      <c r="C7" s="1"/>
      <c r="D7" s="1"/>
      <c r="E7" s="1"/>
      <c r="F7" s="1"/>
      <c r="G7" s="1"/>
      <c r="H7" s="1"/>
      <c r="I7" s="1"/>
      <c r="J7" s="1"/>
      <c r="K7" s="1"/>
    </row>
    <row r="8" spans="1:11" ht="24" customHeight="1">
      <c r="A8" s="1" t="s">
        <v>5</v>
      </c>
      <c r="B8" s="7" t="e">
        <f>B6/B7</f>
        <v>#REF!</v>
      </c>
      <c r="C8" s="1"/>
      <c r="D8" s="1"/>
      <c r="E8" s="1"/>
      <c r="F8" s="1"/>
      <c r="G8" s="1"/>
      <c r="H8" s="1"/>
      <c r="I8" s="1"/>
      <c r="J8" s="1"/>
      <c r="K8" s="1"/>
    </row>
    <row r="9" spans="1:11" ht="24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ht="42" customHeight="1">
      <c r="A10" s="5" t="s">
        <v>6</v>
      </c>
      <c r="B10" s="5" t="s">
        <v>7</v>
      </c>
      <c r="C10" s="5" t="s">
        <v>8</v>
      </c>
      <c r="D10" s="5" t="s">
        <v>9</v>
      </c>
      <c r="E10" s="5" t="s">
        <v>10</v>
      </c>
      <c r="F10" s="5" t="s">
        <v>11</v>
      </c>
      <c r="G10" s="5" t="s">
        <v>12</v>
      </c>
      <c r="H10" s="5" t="s">
        <v>13</v>
      </c>
      <c r="I10" s="5" t="s">
        <v>14</v>
      </c>
      <c r="J10" s="5" t="s">
        <v>15</v>
      </c>
      <c r="K10" s="5" t="s">
        <v>16</v>
      </c>
    </row>
    <row r="11" spans="1:11" ht="24" customHeight="1">
      <c r="A11" s="2" t="s">
        <v>7</v>
      </c>
      <c r="B11" s="2" t="s">
        <v>17</v>
      </c>
      <c r="C11" s="2"/>
      <c r="D11" s="2"/>
      <c r="E11" s="2" t="e">
        <f>COUNTIFS(#REF!,B11,#REF!,"F2")</f>
        <v>#REF!</v>
      </c>
      <c r="F11" s="2" t="e">
        <f>COUNTIFS(#REF!,B11,#REF!,"F4")</f>
        <v>#REF!</v>
      </c>
      <c r="G11" s="2" t="e">
        <f t="shared" ref="G11:G42" si="0">E11+F11</f>
        <v>#REF!</v>
      </c>
      <c r="H11" s="2" t="e">
        <f>COUNTIFS(#REF!,B11,#REF!,"Trước RS")</f>
        <v>#REF!</v>
      </c>
      <c r="I11" s="2" t="e">
        <f>COUNTIFS(#REF!,B11,#REF!,"Sau RS")</f>
        <v>#REF!</v>
      </c>
      <c r="J11" s="8" t="e">
        <f>SUMIFS(#REF!,#REF!,B11)</f>
        <v>#REF!</v>
      </c>
      <c r="K11" s="10" t="e">
        <f t="shared" ref="K11:K42" si="1">J11/$B$7</f>
        <v>#REF!</v>
      </c>
    </row>
    <row r="12" spans="1:11" ht="24" customHeight="1">
      <c r="A12" s="3" t="s">
        <v>8</v>
      </c>
      <c r="B12" s="3" t="s">
        <v>17</v>
      </c>
      <c r="C12" s="3" t="s">
        <v>18</v>
      </c>
      <c r="D12" s="3"/>
      <c r="E12" s="3" t="e">
        <f>COUNTIFS(#REF!,B12,#REF!,C12,#REF!,"F2")</f>
        <v>#REF!</v>
      </c>
      <c r="F12" s="3" t="e">
        <f>COUNTIFS(#REF!,B12,#REF!,C12,#REF!,"F4")</f>
        <v>#REF!</v>
      </c>
      <c r="G12" s="3" t="e">
        <f t="shared" si="0"/>
        <v>#REF!</v>
      </c>
      <c r="H12" s="3" t="e">
        <f>COUNTIFS(#REF!,B12,#REF!,C12,#REF!,"Trước RS")</f>
        <v>#REF!</v>
      </c>
      <c r="I12" s="3" t="e">
        <f>COUNTIFS(#REF!,B12,#REF!,C12,#REF!,"Sau RS")</f>
        <v>#REF!</v>
      </c>
      <c r="J12" s="9" t="e">
        <f>SUMIFS(#REF!,#REF!,B12,#REF!,C12)</f>
        <v>#REF!</v>
      </c>
      <c r="K12" s="11" t="e">
        <f t="shared" si="1"/>
        <v>#REF!</v>
      </c>
    </row>
    <row r="13" spans="1:11" ht="24" customHeight="1">
      <c r="A13" s="1" t="s">
        <v>9</v>
      </c>
      <c r="B13" s="1" t="s">
        <v>17</v>
      </c>
      <c r="C13" s="1" t="s">
        <v>18</v>
      </c>
      <c r="D13" s="1" t="s">
        <v>19</v>
      </c>
      <c r="E13" s="1" t="e">
        <f>COUNTIFS(#REF!,B13,#REF!,C13,#REF!,D13,#REF!,"F2")</f>
        <v>#REF!</v>
      </c>
      <c r="F13" s="1" t="e">
        <f>COUNTIFS(#REF!,B13,#REF!,C13,#REF!,D13,#REF!,"F4")</f>
        <v>#REF!</v>
      </c>
      <c r="G13" s="1" t="e">
        <f t="shared" si="0"/>
        <v>#REF!</v>
      </c>
      <c r="H13" s="1" t="e">
        <f>COUNTIFS(#REF!,B13,#REF!,C13,#REF!,D13,#REF!,"Trước RS")</f>
        <v>#REF!</v>
      </c>
      <c r="I13" s="1" t="e">
        <f>COUNTIFS(#REF!,B13,#REF!,C13,#REF!,D13,#REF!,"Sau RS")</f>
        <v>#REF!</v>
      </c>
      <c r="J13" s="6" t="e">
        <f>SUMIFS(#REF!,#REF!,B13,#REF!,C13,#REF!,D13)</f>
        <v>#REF!</v>
      </c>
      <c r="K13" s="7" t="e">
        <f t="shared" si="1"/>
        <v>#REF!</v>
      </c>
    </row>
    <row r="14" spans="1:11" ht="24" customHeight="1">
      <c r="A14" s="1" t="s">
        <v>9</v>
      </c>
      <c r="B14" s="1" t="s">
        <v>17</v>
      </c>
      <c r="C14" s="1" t="s">
        <v>18</v>
      </c>
      <c r="D14" s="1" t="s">
        <v>20</v>
      </c>
      <c r="E14" s="1" t="e">
        <f>COUNTIFS(#REF!,B14,#REF!,C14,#REF!,D14,#REF!,"F2")</f>
        <v>#REF!</v>
      </c>
      <c r="F14" s="1" t="e">
        <f>COUNTIFS(#REF!,B14,#REF!,C14,#REF!,D14,#REF!,"F4")</f>
        <v>#REF!</v>
      </c>
      <c r="G14" s="1" t="e">
        <f t="shared" si="0"/>
        <v>#REF!</v>
      </c>
      <c r="H14" s="1" t="e">
        <f>COUNTIFS(#REF!,B14,#REF!,C14,#REF!,D14,#REF!,"Trước RS")</f>
        <v>#REF!</v>
      </c>
      <c r="I14" s="1" t="e">
        <f>COUNTIFS(#REF!,B14,#REF!,C14,#REF!,D14,#REF!,"Sau RS")</f>
        <v>#REF!</v>
      </c>
      <c r="J14" s="6" t="e">
        <f>SUMIFS(#REF!,#REF!,B14,#REF!,C14,#REF!,D14)</f>
        <v>#REF!</v>
      </c>
      <c r="K14" s="7" t="e">
        <f t="shared" si="1"/>
        <v>#REF!</v>
      </c>
    </row>
    <row r="15" spans="1:11" ht="24" customHeight="1">
      <c r="A15" s="1" t="s">
        <v>9</v>
      </c>
      <c r="B15" s="1" t="s">
        <v>17</v>
      </c>
      <c r="C15" s="1" t="s">
        <v>18</v>
      </c>
      <c r="D15" s="1" t="s">
        <v>21</v>
      </c>
      <c r="E15" s="1" t="e">
        <f>COUNTIFS(#REF!,B15,#REF!,C15,#REF!,D15,#REF!,"F2")</f>
        <v>#REF!</v>
      </c>
      <c r="F15" s="1" t="e">
        <f>COUNTIFS(#REF!,B15,#REF!,C15,#REF!,D15,#REF!,"F4")</f>
        <v>#REF!</v>
      </c>
      <c r="G15" s="1" t="e">
        <f t="shared" si="0"/>
        <v>#REF!</v>
      </c>
      <c r="H15" s="1" t="e">
        <f>COUNTIFS(#REF!,B15,#REF!,C15,#REF!,D15,#REF!,"Trước RS")</f>
        <v>#REF!</v>
      </c>
      <c r="I15" s="1" t="e">
        <f>COUNTIFS(#REF!,B15,#REF!,C15,#REF!,D15,#REF!,"Sau RS")</f>
        <v>#REF!</v>
      </c>
      <c r="J15" s="6" t="e">
        <f>SUMIFS(#REF!,#REF!,B15,#REF!,C15,#REF!,D15)</f>
        <v>#REF!</v>
      </c>
      <c r="K15" s="7" t="e">
        <f t="shared" si="1"/>
        <v>#REF!</v>
      </c>
    </row>
    <row r="16" spans="1:11" ht="24" customHeight="1">
      <c r="A16" s="1" t="s">
        <v>9</v>
      </c>
      <c r="B16" s="1" t="s">
        <v>17</v>
      </c>
      <c r="C16" s="1" t="s">
        <v>18</v>
      </c>
      <c r="D16" s="1" t="s">
        <v>22</v>
      </c>
      <c r="E16" s="1" t="e">
        <f>COUNTIFS(#REF!,B16,#REF!,C16,#REF!,D16,#REF!,"F2")</f>
        <v>#REF!</v>
      </c>
      <c r="F16" s="1" t="e">
        <f>COUNTIFS(#REF!,B16,#REF!,C16,#REF!,D16,#REF!,"F4")</f>
        <v>#REF!</v>
      </c>
      <c r="G16" s="1" t="e">
        <f t="shared" si="0"/>
        <v>#REF!</v>
      </c>
      <c r="H16" s="1" t="e">
        <f>COUNTIFS(#REF!,B16,#REF!,C16,#REF!,D16,#REF!,"Trước RS")</f>
        <v>#REF!</v>
      </c>
      <c r="I16" s="1" t="e">
        <f>COUNTIFS(#REF!,B16,#REF!,C16,#REF!,D16,#REF!,"Sau RS")</f>
        <v>#REF!</v>
      </c>
      <c r="J16" s="6" t="e">
        <f>SUMIFS(#REF!,#REF!,B16,#REF!,C16,#REF!,D16)</f>
        <v>#REF!</v>
      </c>
      <c r="K16" s="7" t="e">
        <f t="shared" si="1"/>
        <v>#REF!</v>
      </c>
    </row>
    <row r="17" spans="1:11" ht="24" customHeight="1">
      <c r="A17" s="1" t="s">
        <v>9</v>
      </c>
      <c r="B17" s="1" t="s">
        <v>17</v>
      </c>
      <c r="C17" s="1" t="s">
        <v>18</v>
      </c>
      <c r="D17" s="1" t="s">
        <v>23</v>
      </c>
      <c r="E17" s="1" t="e">
        <f>COUNTIFS(#REF!,B17,#REF!,C17,#REF!,D17,#REF!,"F2")</f>
        <v>#REF!</v>
      </c>
      <c r="F17" s="1" t="e">
        <f>COUNTIFS(#REF!,B17,#REF!,C17,#REF!,D17,#REF!,"F4")</f>
        <v>#REF!</v>
      </c>
      <c r="G17" s="1" t="e">
        <f t="shared" si="0"/>
        <v>#REF!</v>
      </c>
      <c r="H17" s="1" t="e">
        <f>COUNTIFS(#REF!,B17,#REF!,C17,#REF!,D17,#REF!,"Trước RS")</f>
        <v>#REF!</v>
      </c>
      <c r="I17" s="1" t="e">
        <f>COUNTIFS(#REF!,B17,#REF!,C17,#REF!,D17,#REF!,"Sau RS")</f>
        <v>#REF!</v>
      </c>
      <c r="J17" s="6" t="e">
        <f>SUMIFS(#REF!,#REF!,B17,#REF!,C17,#REF!,D17)</f>
        <v>#REF!</v>
      </c>
      <c r="K17" s="7" t="e">
        <f t="shared" si="1"/>
        <v>#REF!</v>
      </c>
    </row>
    <row r="18" spans="1:11" ht="24" customHeight="1">
      <c r="A18" s="3" t="s">
        <v>8</v>
      </c>
      <c r="B18" s="3" t="s">
        <v>17</v>
      </c>
      <c r="C18" s="3" t="s">
        <v>24</v>
      </c>
      <c r="D18" s="3"/>
      <c r="E18" s="3" t="e">
        <f>COUNTIFS(#REF!,B18,#REF!,C18,#REF!,"F2")</f>
        <v>#REF!</v>
      </c>
      <c r="F18" s="3" t="e">
        <f>COUNTIFS(#REF!,B18,#REF!,C18,#REF!,"F4")</f>
        <v>#REF!</v>
      </c>
      <c r="G18" s="3" t="e">
        <f t="shared" si="0"/>
        <v>#REF!</v>
      </c>
      <c r="H18" s="3" t="e">
        <f>COUNTIFS(#REF!,B18,#REF!,C18,#REF!,"Trước RS")</f>
        <v>#REF!</v>
      </c>
      <c r="I18" s="3" t="e">
        <f>COUNTIFS(#REF!,B18,#REF!,C18,#REF!,"Sau RS")</f>
        <v>#REF!</v>
      </c>
      <c r="J18" s="9" t="e">
        <f>SUMIFS(#REF!,#REF!,B18,#REF!,C18)</f>
        <v>#REF!</v>
      </c>
      <c r="K18" s="11" t="e">
        <f t="shared" si="1"/>
        <v>#REF!</v>
      </c>
    </row>
    <row r="19" spans="1:11" ht="24" customHeight="1">
      <c r="A19" s="1" t="s">
        <v>9</v>
      </c>
      <c r="B19" s="1" t="s">
        <v>17</v>
      </c>
      <c r="C19" s="1" t="s">
        <v>24</v>
      </c>
      <c r="D19" s="1" t="s">
        <v>25</v>
      </c>
      <c r="E19" s="1" t="e">
        <f>COUNTIFS(#REF!,B19,#REF!,C19,#REF!,D19,#REF!,"F2")</f>
        <v>#REF!</v>
      </c>
      <c r="F19" s="1" t="e">
        <f>COUNTIFS(#REF!,B19,#REF!,C19,#REF!,D19,#REF!,"F4")</f>
        <v>#REF!</v>
      </c>
      <c r="G19" s="1" t="e">
        <f t="shared" si="0"/>
        <v>#REF!</v>
      </c>
      <c r="H19" s="1" t="e">
        <f>COUNTIFS(#REF!,B19,#REF!,C19,#REF!,D19,#REF!,"Trước RS")</f>
        <v>#REF!</v>
      </c>
      <c r="I19" s="1" t="e">
        <f>COUNTIFS(#REF!,B19,#REF!,C19,#REF!,D19,#REF!,"Sau RS")</f>
        <v>#REF!</v>
      </c>
      <c r="J19" s="6" t="e">
        <f>SUMIFS(#REF!,#REF!,B19,#REF!,C19,#REF!,D19)</f>
        <v>#REF!</v>
      </c>
      <c r="K19" s="7" t="e">
        <f t="shared" si="1"/>
        <v>#REF!</v>
      </c>
    </row>
    <row r="20" spans="1:11" ht="24" customHeight="1">
      <c r="A20" s="1" t="s">
        <v>9</v>
      </c>
      <c r="B20" s="1" t="s">
        <v>17</v>
      </c>
      <c r="C20" s="1" t="s">
        <v>24</v>
      </c>
      <c r="D20" s="1" t="s">
        <v>26</v>
      </c>
      <c r="E20" s="1" t="e">
        <f>COUNTIFS(#REF!,B20,#REF!,C20,#REF!,D20,#REF!,"F2")</f>
        <v>#REF!</v>
      </c>
      <c r="F20" s="1" t="e">
        <f>COUNTIFS(#REF!,B20,#REF!,C20,#REF!,D20,#REF!,"F4")</f>
        <v>#REF!</v>
      </c>
      <c r="G20" s="1" t="e">
        <f t="shared" si="0"/>
        <v>#REF!</v>
      </c>
      <c r="H20" s="1" t="e">
        <f>COUNTIFS(#REF!,B20,#REF!,C20,#REF!,D20,#REF!,"Trước RS")</f>
        <v>#REF!</v>
      </c>
      <c r="I20" s="1" t="e">
        <f>COUNTIFS(#REF!,B20,#REF!,C20,#REF!,D20,#REF!,"Sau RS")</f>
        <v>#REF!</v>
      </c>
      <c r="J20" s="6" t="e">
        <f>SUMIFS(#REF!,#REF!,B20,#REF!,C20,#REF!,D20)</f>
        <v>#REF!</v>
      </c>
      <c r="K20" s="7" t="e">
        <f t="shared" si="1"/>
        <v>#REF!</v>
      </c>
    </row>
    <row r="21" spans="1:11" ht="24" customHeight="1">
      <c r="A21" s="1" t="s">
        <v>9</v>
      </c>
      <c r="B21" s="1" t="s">
        <v>17</v>
      </c>
      <c r="C21" s="1" t="s">
        <v>24</v>
      </c>
      <c r="D21" s="1" t="s">
        <v>27</v>
      </c>
      <c r="E21" s="1" t="e">
        <f>COUNTIFS(#REF!,B21,#REF!,C21,#REF!,D21,#REF!,"F2")</f>
        <v>#REF!</v>
      </c>
      <c r="F21" s="1" t="e">
        <f>COUNTIFS(#REF!,B21,#REF!,C21,#REF!,D21,#REF!,"F4")</f>
        <v>#REF!</v>
      </c>
      <c r="G21" s="1" t="e">
        <f t="shared" si="0"/>
        <v>#REF!</v>
      </c>
      <c r="H21" s="1" t="e">
        <f>COUNTIFS(#REF!,B21,#REF!,C21,#REF!,D21,#REF!,"Trước RS")</f>
        <v>#REF!</v>
      </c>
      <c r="I21" s="1" t="e">
        <f>COUNTIFS(#REF!,B21,#REF!,C21,#REF!,D21,#REF!,"Sau RS")</f>
        <v>#REF!</v>
      </c>
      <c r="J21" s="6" t="e">
        <f>SUMIFS(#REF!,#REF!,B21,#REF!,C21,#REF!,D21)</f>
        <v>#REF!</v>
      </c>
      <c r="K21" s="7" t="e">
        <f t="shared" si="1"/>
        <v>#REF!</v>
      </c>
    </row>
    <row r="22" spans="1:11" ht="24" customHeight="1">
      <c r="A22" s="1" t="s">
        <v>9</v>
      </c>
      <c r="B22" s="1" t="s">
        <v>17</v>
      </c>
      <c r="C22" s="1" t="s">
        <v>24</v>
      </c>
      <c r="D22" s="1" t="s">
        <v>28</v>
      </c>
      <c r="E22" s="1" t="e">
        <f>COUNTIFS(#REF!,B22,#REF!,C22,#REF!,D22,#REF!,"F2")</f>
        <v>#REF!</v>
      </c>
      <c r="F22" s="1" t="e">
        <f>COUNTIFS(#REF!,B22,#REF!,C22,#REF!,D22,#REF!,"F4")</f>
        <v>#REF!</v>
      </c>
      <c r="G22" s="1" t="e">
        <f t="shared" si="0"/>
        <v>#REF!</v>
      </c>
      <c r="H22" s="1" t="e">
        <f>COUNTIFS(#REF!,B22,#REF!,C22,#REF!,D22,#REF!,"Trước RS")</f>
        <v>#REF!</v>
      </c>
      <c r="I22" s="1" t="e">
        <f>COUNTIFS(#REF!,B22,#REF!,C22,#REF!,D22,#REF!,"Sau RS")</f>
        <v>#REF!</v>
      </c>
      <c r="J22" s="6" t="e">
        <f>SUMIFS(#REF!,#REF!,B22,#REF!,C22,#REF!,D22)</f>
        <v>#REF!</v>
      </c>
      <c r="K22" s="7" t="e">
        <f t="shared" si="1"/>
        <v>#REF!</v>
      </c>
    </row>
    <row r="23" spans="1:11" ht="24" customHeight="1">
      <c r="A23" s="1" t="s">
        <v>9</v>
      </c>
      <c r="B23" s="1" t="s">
        <v>17</v>
      </c>
      <c r="C23" s="1" t="s">
        <v>24</v>
      </c>
      <c r="D23" s="1" t="s">
        <v>29</v>
      </c>
      <c r="E23" s="1" t="e">
        <f>COUNTIFS(#REF!,B23,#REF!,C23,#REF!,D23,#REF!,"F2")</f>
        <v>#REF!</v>
      </c>
      <c r="F23" s="1" t="e">
        <f>COUNTIFS(#REF!,B23,#REF!,C23,#REF!,D23,#REF!,"F4")</f>
        <v>#REF!</v>
      </c>
      <c r="G23" s="1" t="e">
        <f t="shared" si="0"/>
        <v>#REF!</v>
      </c>
      <c r="H23" s="1" t="e">
        <f>COUNTIFS(#REF!,B23,#REF!,C23,#REF!,D23,#REF!,"Trước RS")</f>
        <v>#REF!</v>
      </c>
      <c r="I23" s="1" t="e">
        <f>COUNTIFS(#REF!,B23,#REF!,C23,#REF!,D23,#REF!,"Sau RS")</f>
        <v>#REF!</v>
      </c>
      <c r="J23" s="6" t="e">
        <f>SUMIFS(#REF!,#REF!,B23,#REF!,C23,#REF!,D23)</f>
        <v>#REF!</v>
      </c>
      <c r="K23" s="7" t="e">
        <f t="shared" si="1"/>
        <v>#REF!</v>
      </c>
    </row>
    <row r="24" spans="1:11" ht="24" customHeight="1">
      <c r="A24" s="1" t="s">
        <v>9</v>
      </c>
      <c r="B24" s="1" t="s">
        <v>17</v>
      </c>
      <c r="C24" s="1" t="s">
        <v>24</v>
      </c>
      <c r="D24" s="1" t="s">
        <v>30</v>
      </c>
      <c r="E24" s="1" t="e">
        <f>COUNTIFS(#REF!,B24,#REF!,C24,#REF!,D24,#REF!,"F2")</f>
        <v>#REF!</v>
      </c>
      <c r="F24" s="1" t="e">
        <f>COUNTIFS(#REF!,B24,#REF!,C24,#REF!,D24,#REF!,"F4")</f>
        <v>#REF!</v>
      </c>
      <c r="G24" s="1" t="e">
        <f t="shared" si="0"/>
        <v>#REF!</v>
      </c>
      <c r="H24" s="1" t="e">
        <f>COUNTIFS(#REF!,B24,#REF!,C24,#REF!,D24,#REF!,"Trước RS")</f>
        <v>#REF!</v>
      </c>
      <c r="I24" s="1" t="e">
        <f>COUNTIFS(#REF!,B24,#REF!,C24,#REF!,D24,#REF!,"Sau RS")</f>
        <v>#REF!</v>
      </c>
      <c r="J24" s="6" t="e">
        <f>SUMIFS(#REF!,#REF!,B24,#REF!,C24,#REF!,D24)</f>
        <v>#REF!</v>
      </c>
      <c r="K24" s="7" t="e">
        <f t="shared" si="1"/>
        <v>#REF!</v>
      </c>
    </row>
    <row r="25" spans="1:11" ht="24" customHeight="1">
      <c r="A25" s="2" t="s">
        <v>7</v>
      </c>
      <c r="B25" s="2" t="s">
        <v>31</v>
      </c>
      <c r="C25" s="2"/>
      <c r="D25" s="2"/>
      <c r="E25" s="2" t="e">
        <f>COUNTIFS(#REF!,B25,#REF!,"F2")</f>
        <v>#REF!</v>
      </c>
      <c r="F25" s="2" t="e">
        <f>COUNTIFS(#REF!,B25,#REF!,"F4")</f>
        <v>#REF!</v>
      </c>
      <c r="G25" s="2" t="e">
        <f t="shared" si="0"/>
        <v>#REF!</v>
      </c>
      <c r="H25" s="2" t="e">
        <f>COUNTIFS(#REF!,B25,#REF!,"Trước RS")</f>
        <v>#REF!</v>
      </c>
      <c r="I25" s="2" t="e">
        <f>COUNTIFS(#REF!,B25,#REF!,"Sau RS")</f>
        <v>#REF!</v>
      </c>
      <c r="J25" s="8" t="e">
        <f>SUMIFS(#REF!,#REF!,B25)</f>
        <v>#REF!</v>
      </c>
      <c r="K25" s="10" t="e">
        <f t="shared" si="1"/>
        <v>#REF!</v>
      </c>
    </row>
    <row r="26" spans="1:11" ht="24" customHeight="1">
      <c r="A26" s="3" t="s">
        <v>8</v>
      </c>
      <c r="B26" s="3" t="s">
        <v>31</v>
      </c>
      <c r="C26" s="3" t="s">
        <v>32</v>
      </c>
      <c r="D26" s="3"/>
      <c r="E26" s="3" t="e">
        <f>COUNTIFS(#REF!,B26,#REF!,C26,#REF!,"F2")</f>
        <v>#REF!</v>
      </c>
      <c r="F26" s="3" t="e">
        <f>COUNTIFS(#REF!,B26,#REF!,C26,#REF!,"F4")</f>
        <v>#REF!</v>
      </c>
      <c r="G26" s="3" t="e">
        <f t="shared" si="0"/>
        <v>#REF!</v>
      </c>
      <c r="H26" s="3" t="e">
        <f>COUNTIFS(#REF!,B26,#REF!,C26,#REF!,"Trước RS")</f>
        <v>#REF!</v>
      </c>
      <c r="I26" s="3" t="e">
        <f>COUNTIFS(#REF!,B26,#REF!,C26,#REF!,"Sau RS")</f>
        <v>#REF!</v>
      </c>
      <c r="J26" s="9" t="e">
        <f>SUMIFS(#REF!,#REF!,B26,#REF!,C26)</f>
        <v>#REF!</v>
      </c>
      <c r="K26" s="11" t="e">
        <f t="shared" si="1"/>
        <v>#REF!</v>
      </c>
    </row>
    <row r="27" spans="1:11" ht="24" customHeight="1">
      <c r="A27" s="1" t="s">
        <v>9</v>
      </c>
      <c r="B27" s="1" t="s">
        <v>31</v>
      </c>
      <c r="C27" s="1" t="s">
        <v>32</v>
      </c>
      <c r="D27" s="1" t="s">
        <v>33</v>
      </c>
      <c r="E27" s="1" t="e">
        <f>COUNTIFS(#REF!,B27,#REF!,C27,#REF!,D27,#REF!,"F2")</f>
        <v>#REF!</v>
      </c>
      <c r="F27" s="1" t="e">
        <f>COUNTIFS(#REF!,B27,#REF!,C27,#REF!,D27,#REF!,"F4")</f>
        <v>#REF!</v>
      </c>
      <c r="G27" s="1" t="e">
        <f t="shared" si="0"/>
        <v>#REF!</v>
      </c>
      <c r="H27" s="1" t="e">
        <f>COUNTIFS(#REF!,B27,#REF!,C27,#REF!,D27,#REF!,"Trước RS")</f>
        <v>#REF!</v>
      </c>
      <c r="I27" s="1" t="e">
        <f>COUNTIFS(#REF!,B27,#REF!,C27,#REF!,D27,#REF!,"Sau RS")</f>
        <v>#REF!</v>
      </c>
      <c r="J27" s="6" t="e">
        <f>SUMIFS(#REF!,#REF!,B27,#REF!,C27,#REF!,D27)</f>
        <v>#REF!</v>
      </c>
      <c r="K27" s="7" t="e">
        <f t="shared" si="1"/>
        <v>#REF!</v>
      </c>
    </row>
    <row r="28" spans="1:11" ht="24" customHeight="1">
      <c r="A28" s="1" t="s">
        <v>9</v>
      </c>
      <c r="B28" s="1" t="s">
        <v>31</v>
      </c>
      <c r="C28" s="1" t="s">
        <v>32</v>
      </c>
      <c r="D28" s="1" t="s">
        <v>34</v>
      </c>
      <c r="E28" s="1" t="e">
        <f>COUNTIFS(#REF!,B28,#REF!,C28,#REF!,D28,#REF!,"F2")</f>
        <v>#REF!</v>
      </c>
      <c r="F28" s="1" t="e">
        <f>COUNTIFS(#REF!,B28,#REF!,C28,#REF!,D28,#REF!,"F4")</f>
        <v>#REF!</v>
      </c>
      <c r="G28" s="1" t="e">
        <f t="shared" si="0"/>
        <v>#REF!</v>
      </c>
      <c r="H28" s="1" t="e">
        <f>COUNTIFS(#REF!,B28,#REF!,C28,#REF!,D28,#REF!,"Trước RS")</f>
        <v>#REF!</v>
      </c>
      <c r="I28" s="1" t="e">
        <f>COUNTIFS(#REF!,B28,#REF!,C28,#REF!,D28,#REF!,"Sau RS")</f>
        <v>#REF!</v>
      </c>
      <c r="J28" s="6" t="e">
        <f>SUMIFS(#REF!,#REF!,B28,#REF!,C28,#REF!,D28)</f>
        <v>#REF!</v>
      </c>
      <c r="K28" s="7" t="e">
        <f t="shared" si="1"/>
        <v>#REF!</v>
      </c>
    </row>
    <row r="29" spans="1:11" ht="24" customHeight="1">
      <c r="A29" s="1" t="s">
        <v>9</v>
      </c>
      <c r="B29" s="1" t="s">
        <v>31</v>
      </c>
      <c r="C29" s="1" t="s">
        <v>32</v>
      </c>
      <c r="D29" s="1" t="s">
        <v>35</v>
      </c>
      <c r="E29" s="1" t="e">
        <f>COUNTIFS(#REF!,B29,#REF!,C29,#REF!,D29,#REF!,"F2")</f>
        <v>#REF!</v>
      </c>
      <c r="F29" s="1" t="e">
        <f>COUNTIFS(#REF!,B29,#REF!,C29,#REF!,D29,#REF!,"F4")</f>
        <v>#REF!</v>
      </c>
      <c r="G29" s="1" t="e">
        <f t="shared" si="0"/>
        <v>#REF!</v>
      </c>
      <c r="H29" s="1" t="e">
        <f>COUNTIFS(#REF!,B29,#REF!,C29,#REF!,D29,#REF!,"Trước RS")</f>
        <v>#REF!</v>
      </c>
      <c r="I29" s="1" t="e">
        <f>COUNTIFS(#REF!,B29,#REF!,C29,#REF!,D29,#REF!,"Sau RS")</f>
        <v>#REF!</v>
      </c>
      <c r="J29" s="6" t="e">
        <f>SUMIFS(#REF!,#REF!,B29,#REF!,C29,#REF!,D29)</f>
        <v>#REF!</v>
      </c>
      <c r="K29" s="7" t="e">
        <f t="shared" si="1"/>
        <v>#REF!</v>
      </c>
    </row>
    <row r="30" spans="1:11" ht="24" customHeight="1">
      <c r="A30" s="1" t="s">
        <v>9</v>
      </c>
      <c r="B30" s="1" t="s">
        <v>31</v>
      </c>
      <c r="C30" s="1" t="s">
        <v>32</v>
      </c>
      <c r="D30" s="1" t="s">
        <v>36</v>
      </c>
      <c r="E30" s="1" t="e">
        <f>COUNTIFS(#REF!,B30,#REF!,C30,#REF!,D30,#REF!,"F2")</f>
        <v>#REF!</v>
      </c>
      <c r="F30" s="1" t="e">
        <f>COUNTIFS(#REF!,B30,#REF!,C30,#REF!,D30,#REF!,"F4")</f>
        <v>#REF!</v>
      </c>
      <c r="G30" s="1" t="e">
        <f t="shared" si="0"/>
        <v>#REF!</v>
      </c>
      <c r="H30" s="1" t="e">
        <f>COUNTIFS(#REF!,B30,#REF!,C30,#REF!,D30,#REF!,"Trước RS")</f>
        <v>#REF!</v>
      </c>
      <c r="I30" s="1" t="e">
        <f>COUNTIFS(#REF!,B30,#REF!,C30,#REF!,D30,#REF!,"Sau RS")</f>
        <v>#REF!</v>
      </c>
      <c r="J30" s="6" t="e">
        <f>SUMIFS(#REF!,#REF!,B30,#REF!,C30,#REF!,D30)</f>
        <v>#REF!</v>
      </c>
      <c r="K30" s="7" t="e">
        <f t="shared" si="1"/>
        <v>#REF!</v>
      </c>
    </row>
    <row r="31" spans="1:11" ht="24" customHeight="1">
      <c r="A31" s="1" t="s">
        <v>9</v>
      </c>
      <c r="B31" s="1" t="s">
        <v>31</v>
      </c>
      <c r="C31" s="1" t="s">
        <v>32</v>
      </c>
      <c r="D31" s="1" t="s">
        <v>37</v>
      </c>
      <c r="E31" s="1" t="e">
        <f>COUNTIFS(#REF!,B31,#REF!,C31,#REF!,D31,#REF!,"F2")</f>
        <v>#REF!</v>
      </c>
      <c r="F31" s="1" t="e">
        <f>COUNTIFS(#REF!,B31,#REF!,C31,#REF!,D31,#REF!,"F4")</f>
        <v>#REF!</v>
      </c>
      <c r="G31" s="1" t="e">
        <f t="shared" si="0"/>
        <v>#REF!</v>
      </c>
      <c r="H31" s="1" t="e">
        <f>COUNTIFS(#REF!,B31,#REF!,C31,#REF!,D31,#REF!,"Trước RS")</f>
        <v>#REF!</v>
      </c>
      <c r="I31" s="1" t="e">
        <f>COUNTIFS(#REF!,B31,#REF!,C31,#REF!,D31,#REF!,"Sau RS")</f>
        <v>#REF!</v>
      </c>
      <c r="J31" s="6" t="e">
        <f>SUMIFS(#REF!,#REF!,B31,#REF!,C31,#REF!,D31)</f>
        <v>#REF!</v>
      </c>
      <c r="K31" s="7" t="e">
        <f t="shared" si="1"/>
        <v>#REF!</v>
      </c>
    </row>
    <row r="32" spans="1:11" ht="24" customHeight="1">
      <c r="A32" s="1" t="s">
        <v>9</v>
      </c>
      <c r="B32" s="1" t="s">
        <v>31</v>
      </c>
      <c r="C32" s="1" t="s">
        <v>32</v>
      </c>
      <c r="D32" s="1" t="s">
        <v>38</v>
      </c>
      <c r="E32" s="1" t="e">
        <f>COUNTIFS(#REF!,B32,#REF!,C32,#REF!,D32,#REF!,"F2")</f>
        <v>#REF!</v>
      </c>
      <c r="F32" s="1" t="e">
        <f>COUNTIFS(#REF!,B32,#REF!,C32,#REF!,D32,#REF!,"F4")</f>
        <v>#REF!</v>
      </c>
      <c r="G32" s="1" t="e">
        <f t="shared" si="0"/>
        <v>#REF!</v>
      </c>
      <c r="H32" s="1" t="e">
        <f>COUNTIFS(#REF!,B32,#REF!,C32,#REF!,D32,#REF!,"Trước RS")</f>
        <v>#REF!</v>
      </c>
      <c r="I32" s="1" t="e">
        <f>COUNTIFS(#REF!,B32,#REF!,C32,#REF!,D32,#REF!,"Sau RS")</f>
        <v>#REF!</v>
      </c>
      <c r="J32" s="6" t="e">
        <f>SUMIFS(#REF!,#REF!,B32,#REF!,C32,#REF!,D32)</f>
        <v>#REF!</v>
      </c>
      <c r="K32" s="7" t="e">
        <f t="shared" si="1"/>
        <v>#REF!</v>
      </c>
    </row>
    <row r="33" spans="1:11" ht="24" customHeight="1">
      <c r="A33" s="1" t="s">
        <v>9</v>
      </c>
      <c r="B33" s="1" t="s">
        <v>31</v>
      </c>
      <c r="C33" s="1" t="s">
        <v>32</v>
      </c>
      <c r="D33" s="1" t="s">
        <v>39</v>
      </c>
      <c r="E33" s="1" t="e">
        <f>COUNTIFS(#REF!,B33,#REF!,C33,#REF!,D33,#REF!,"F2")</f>
        <v>#REF!</v>
      </c>
      <c r="F33" s="1" t="e">
        <f>COUNTIFS(#REF!,B33,#REF!,C33,#REF!,D33,#REF!,"F4")</f>
        <v>#REF!</v>
      </c>
      <c r="G33" s="1" t="e">
        <f t="shared" si="0"/>
        <v>#REF!</v>
      </c>
      <c r="H33" s="1" t="e">
        <f>COUNTIFS(#REF!,B33,#REF!,C33,#REF!,D33,#REF!,"Trước RS")</f>
        <v>#REF!</v>
      </c>
      <c r="I33" s="1" t="e">
        <f>COUNTIFS(#REF!,B33,#REF!,C33,#REF!,D33,#REF!,"Sau RS")</f>
        <v>#REF!</v>
      </c>
      <c r="J33" s="6" t="e">
        <f>SUMIFS(#REF!,#REF!,B33,#REF!,C33,#REF!,D33)</f>
        <v>#REF!</v>
      </c>
      <c r="K33" s="7" t="e">
        <f t="shared" si="1"/>
        <v>#REF!</v>
      </c>
    </row>
    <row r="34" spans="1:11" ht="24" customHeight="1">
      <c r="A34" s="1" t="s">
        <v>9</v>
      </c>
      <c r="B34" s="1" t="s">
        <v>31</v>
      </c>
      <c r="C34" s="1" t="s">
        <v>32</v>
      </c>
      <c r="D34" s="1" t="s">
        <v>40</v>
      </c>
      <c r="E34" s="1" t="e">
        <f>COUNTIFS(#REF!,B34,#REF!,C34,#REF!,D34,#REF!,"F2")</f>
        <v>#REF!</v>
      </c>
      <c r="F34" s="1" t="e">
        <f>COUNTIFS(#REF!,B34,#REF!,C34,#REF!,D34,#REF!,"F4")</f>
        <v>#REF!</v>
      </c>
      <c r="G34" s="1" t="e">
        <f t="shared" si="0"/>
        <v>#REF!</v>
      </c>
      <c r="H34" s="1" t="e">
        <f>COUNTIFS(#REF!,B34,#REF!,C34,#REF!,D34,#REF!,"Trước RS")</f>
        <v>#REF!</v>
      </c>
      <c r="I34" s="1" t="e">
        <f>COUNTIFS(#REF!,B34,#REF!,C34,#REF!,D34,#REF!,"Sau RS")</f>
        <v>#REF!</v>
      </c>
      <c r="J34" s="6" t="e">
        <f>SUMIFS(#REF!,#REF!,B34,#REF!,C34,#REF!,D34)</f>
        <v>#REF!</v>
      </c>
      <c r="K34" s="7" t="e">
        <f t="shared" si="1"/>
        <v>#REF!</v>
      </c>
    </row>
    <row r="35" spans="1:11" ht="24" customHeight="1">
      <c r="A35" s="1" t="s">
        <v>9</v>
      </c>
      <c r="B35" s="1" t="s">
        <v>31</v>
      </c>
      <c r="C35" s="1" t="s">
        <v>32</v>
      </c>
      <c r="D35" s="1" t="s">
        <v>41</v>
      </c>
      <c r="E35" s="1" t="e">
        <f>COUNTIFS(#REF!,B35,#REF!,C35,#REF!,D35,#REF!,"F2")</f>
        <v>#REF!</v>
      </c>
      <c r="F35" s="1" t="e">
        <f>COUNTIFS(#REF!,B35,#REF!,C35,#REF!,D35,#REF!,"F4")</f>
        <v>#REF!</v>
      </c>
      <c r="G35" s="1" t="e">
        <f t="shared" si="0"/>
        <v>#REF!</v>
      </c>
      <c r="H35" s="1" t="e">
        <f>COUNTIFS(#REF!,B35,#REF!,C35,#REF!,D35,#REF!,"Trước RS")</f>
        <v>#REF!</v>
      </c>
      <c r="I35" s="1" t="e">
        <f>COUNTIFS(#REF!,B35,#REF!,C35,#REF!,D35,#REF!,"Sau RS")</f>
        <v>#REF!</v>
      </c>
      <c r="J35" s="6" t="e">
        <f>SUMIFS(#REF!,#REF!,B35,#REF!,C35,#REF!,D35)</f>
        <v>#REF!</v>
      </c>
      <c r="K35" s="7" t="e">
        <f t="shared" si="1"/>
        <v>#REF!</v>
      </c>
    </row>
    <row r="36" spans="1:11" ht="24" customHeight="1">
      <c r="A36" s="1" t="s">
        <v>9</v>
      </c>
      <c r="B36" s="1" t="s">
        <v>31</v>
      </c>
      <c r="C36" s="1" t="s">
        <v>32</v>
      </c>
      <c r="D36" s="1" t="s">
        <v>42</v>
      </c>
      <c r="E36" s="1" t="e">
        <f>COUNTIFS(#REF!,B36,#REF!,C36,#REF!,D36,#REF!,"F2")</f>
        <v>#REF!</v>
      </c>
      <c r="F36" s="1" t="e">
        <f>COUNTIFS(#REF!,B36,#REF!,C36,#REF!,D36,#REF!,"F4")</f>
        <v>#REF!</v>
      </c>
      <c r="G36" s="1" t="e">
        <f t="shared" si="0"/>
        <v>#REF!</v>
      </c>
      <c r="H36" s="1" t="e">
        <f>COUNTIFS(#REF!,B36,#REF!,C36,#REF!,D36,#REF!,"Trước RS")</f>
        <v>#REF!</v>
      </c>
      <c r="I36" s="1" t="e">
        <f>COUNTIFS(#REF!,B36,#REF!,C36,#REF!,D36,#REF!,"Sau RS")</f>
        <v>#REF!</v>
      </c>
      <c r="J36" s="6" t="e">
        <f>SUMIFS(#REF!,#REF!,B36,#REF!,C36,#REF!,D36)</f>
        <v>#REF!</v>
      </c>
      <c r="K36" s="7" t="e">
        <f t="shared" si="1"/>
        <v>#REF!</v>
      </c>
    </row>
    <row r="37" spans="1:11" ht="24" customHeight="1">
      <c r="A37" s="3" t="s">
        <v>8</v>
      </c>
      <c r="B37" s="3" t="s">
        <v>31</v>
      </c>
      <c r="C37" s="3" t="s">
        <v>43</v>
      </c>
      <c r="D37" s="3"/>
      <c r="E37" s="3" t="e">
        <f>COUNTIFS(#REF!,B37,#REF!,C37,#REF!,"F2")</f>
        <v>#REF!</v>
      </c>
      <c r="F37" s="3" t="e">
        <f>COUNTIFS(#REF!,B37,#REF!,C37,#REF!,"F4")</f>
        <v>#REF!</v>
      </c>
      <c r="G37" s="3" t="e">
        <f t="shared" si="0"/>
        <v>#REF!</v>
      </c>
      <c r="H37" s="3" t="e">
        <f>COUNTIFS(#REF!,B37,#REF!,C37,#REF!,"Trước RS")</f>
        <v>#REF!</v>
      </c>
      <c r="I37" s="3" t="e">
        <f>COUNTIFS(#REF!,B37,#REF!,C37,#REF!,"Sau RS")</f>
        <v>#REF!</v>
      </c>
      <c r="J37" s="9" t="e">
        <f>SUMIFS(#REF!,#REF!,B37,#REF!,C37)</f>
        <v>#REF!</v>
      </c>
      <c r="K37" s="11" t="e">
        <f t="shared" si="1"/>
        <v>#REF!</v>
      </c>
    </row>
    <row r="38" spans="1:11" ht="24" customHeight="1">
      <c r="A38" s="1" t="s">
        <v>9</v>
      </c>
      <c r="B38" s="1" t="s">
        <v>31</v>
      </c>
      <c r="C38" s="1" t="s">
        <v>43</v>
      </c>
      <c r="D38" s="1" t="s">
        <v>44</v>
      </c>
      <c r="E38" s="1" t="e">
        <f>COUNTIFS(#REF!,B38,#REF!,C38,#REF!,D38,#REF!,"F2")</f>
        <v>#REF!</v>
      </c>
      <c r="F38" s="1" t="e">
        <f>COUNTIFS(#REF!,B38,#REF!,C38,#REF!,D38,#REF!,"F4")</f>
        <v>#REF!</v>
      </c>
      <c r="G38" s="1" t="e">
        <f t="shared" si="0"/>
        <v>#REF!</v>
      </c>
      <c r="H38" s="1" t="e">
        <f>COUNTIFS(#REF!,B38,#REF!,C38,#REF!,D38,#REF!,"Trước RS")</f>
        <v>#REF!</v>
      </c>
      <c r="I38" s="1" t="e">
        <f>COUNTIFS(#REF!,B38,#REF!,C38,#REF!,D38,#REF!,"Sau RS")</f>
        <v>#REF!</v>
      </c>
      <c r="J38" s="6" t="e">
        <f>SUMIFS(#REF!,#REF!,B38,#REF!,C38,#REF!,D38)</f>
        <v>#REF!</v>
      </c>
      <c r="K38" s="7" t="e">
        <f t="shared" si="1"/>
        <v>#REF!</v>
      </c>
    </row>
    <row r="39" spans="1:11" ht="24" customHeight="1">
      <c r="A39" s="1" t="s">
        <v>9</v>
      </c>
      <c r="B39" s="1" t="s">
        <v>31</v>
      </c>
      <c r="C39" s="1" t="s">
        <v>43</v>
      </c>
      <c r="D39" s="1" t="s">
        <v>45</v>
      </c>
      <c r="E39" s="1" t="e">
        <f>COUNTIFS(#REF!,B39,#REF!,C39,#REF!,D39,#REF!,"F2")</f>
        <v>#REF!</v>
      </c>
      <c r="F39" s="1" t="e">
        <f>COUNTIFS(#REF!,B39,#REF!,C39,#REF!,D39,#REF!,"F4")</f>
        <v>#REF!</v>
      </c>
      <c r="G39" s="1" t="e">
        <f t="shared" si="0"/>
        <v>#REF!</v>
      </c>
      <c r="H39" s="1" t="e">
        <f>COUNTIFS(#REF!,B39,#REF!,C39,#REF!,D39,#REF!,"Trước RS")</f>
        <v>#REF!</v>
      </c>
      <c r="I39" s="1" t="e">
        <f>COUNTIFS(#REF!,B39,#REF!,C39,#REF!,D39,#REF!,"Sau RS")</f>
        <v>#REF!</v>
      </c>
      <c r="J39" s="6" t="e">
        <f>SUMIFS(#REF!,#REF!,B39,#REF!,C39,#REF!,D39)</f>
        <v>#REF!</v>
      </c>
      <c r="K39" s="7" t="e">
        <f t="shared" si="1"/>
        <v>#REF!</v>
      </c>
    </row>
    <row r="40" spans="1:11" ht="24" customHeight="1">
      <c r="A40" s="1" t="s">
        <v>9</v>
      </c>
      <c r="B40" s="1" t="s">
        <v>31</v>
      </c>
      <c r="C40" s="1" t="s">
        <v>43</v>
      </c>
      <c r="D40" s="1" t="s">
        <v>46</v>
      </c>
      <c r="E40" s="1" t="e">
        <f>COUNTIFS(#REF!,B40,#REF!,C40,#REF!,D40,#REF!,"F2")</f>
        <v>#REF!</v>
      </c>
      <c r="F40" s="1" t="e">
        <f>COUNTIFS(#REF!,B40,#REF!,C40,#REF!,D40,#REF!,"F4")</f>
        <v>#REF!</v>
      </c>
      <c r="G40" s="1" t="e">
        <f t="shared" si="0"/>
        <v>#REF!</v>
      </c>
      <c r="H40" s="1" t="e">
        <f>COUNTIFS(#REF!,B40,#REF!,C40,#REF!,D40,#REF!,"Trước RS")</f>
        <v>#REF!</v>
      </c>
      <c r="I40" s="1" t="e">
        <f>COUNTIFS(#REF!,B40,#REF!,C40,#REF!,D40,#REF!,"Sau RS")</f>
        <v>#REF!</v>
      </c>
      <c r="J40" s="6" t="e">
        <f>SUMIFS(#REF!,#REF!,B40,#REF!,C40,#REF!,D40)</f>
        <v>#REF!</v>
      </c>
      <c r="K40" s="7" t="e">
        <f t="shared" si="1"/>
        <v>#REF!</v>
      </c>
    </row>
    <row r="41" spans="1:11" ht="24" customHeight="1">
      <c r="A41" s="1" t="s">
        <v>9</v>
      </c>
      <c r="B41" s="1" t="s">
        <v>31</v>
      </c>
      <c r="C41" s="1" t="s">
        <v>43</v>
      </c>
      <c r="D41" s="1" t="s">
        <v>47</v>
      </c>
      <c r="E41" s="1" t="e">
        <f>COUNTIFS(#REF!,B41,#REF!,C41,#REF!,D41,#REF!,"F2")</f>
        <v>#REF!</v>
      </c>
      <c r="F41" s="1" t="e">
        <f>COUNTIFS(#REF!,B41,#REF!,C41,#REF!,D41,#REF!,"F4")</f>
        <v>#REF!</v>
      </c>
      <c r="G41" s="1" t="e">
        <f t="shared" si="0"/>
        <v>#REF!</v>
      </c>
      <c r="H41" s="1" t="e">
        <f>COUNTIFS(#REF!,B41,#REF!,C41,#REF!,D41,#REF!,"Trước RS")</f>
        <v>#REF!</v>
      </c>
      <c r="I41" s="1" t="e">
        <f>COUNTIFS(#REF!,B41,#REF!,C41,#REF!,D41,#REF!,"Sau RS")</f>
        <v>#REF!</v>
      </c>
      <c r="J41" s="6" t="e">
        <f>SUMIFS(#REF!,#REF!,B41,#REF!,C41,#REF!,D41)</f>
        <v>#REF!</v>
      </c>
      <c r="K41" s="7" t="e">
        <f t="shared" si="1"/>
        <v>#REF!</v>
      </c>
    </row>
    <row r="42" spans="1:11" ht="24" customHeight="1">
      <c r="A42" s="1" t="s">
        <v>9</v>
      </c>
      <c r="B42" s="1" t="s">
        <v>31</v>
      </c>
      <c r="C42" s="1" t="s">
        <v>43</v>
      </c>
      <c r="D42" s="1" t="s">
        <v>48</v>
      </c>
      <c r="E42" s="1" t="e">
        <f>COUNTIFS(#REF!,B42,#REF!,C42,#REF!,D42,#REF!,"F2")</f>
        <v>#REF!</v>
      </c>
      <c r="F42" s="1" t="e">
        <f>COUNTIFS(#REF!,B42,#REF!,C42,#REF!,D42,#REF!,"F4")</f>
        <v>#REF!</v>
      </c>
      <c r="G42" s="1" t="e">
        <f t="shared" si="0"/>
        <v>#REF!</v>
      </c>
      <c r="H42" s="1" t="e">
        <f>COUNTIFS(#REF!,B42,#REF!,C42,#REF!,D42,#REF!,"Trước RS")</f>
        <v>#REF!</v>
      </c>
      <c r="I42" s="1" t="e">
        <f>COUNTIFS(#REF!,B42,#REF!,C42,#REF!,D42,#REF!,"Sau RS")</f>
        <v>#REF!</v>
      </c>
      <c r="J42" s="6" t="e">
        <f>SUMIFS(#REF!,#REF!,B42,#REF!,C42,#REF!,D42)</f>
        <v>#REF!</v>
      </c>
      <c r="K42" s="7" t="e">
        <f t="shared" si="1"/>
        <v>#REF!</v>
      </c>
    </row>
    <row r="43" spans="1:11" ht="24" customHeight="1">
      <c r="A43" s="1" t="s">
        <v>9</v>
      </c>
      <c r="B43" s="1" t="s">
        <v>31</v>
      </c>
      <c r="C43" s="1" t="s">
        <v>43</v>
      </c>
      <c r="D43" s="1" t="s">
        <v>49</v>
      </c>
      <c r="E43" s="1" t="e">
        <f>COUNTIFS(#REF!,B43,#REF!,C43,#REF!,D43,#REF!,"F2")</f>
        <v>#REF!</v>
      </c>
      <c r="F43" s="1" t="e">
        <f>COUNTIFS(#REF!,B43,#REF!,C43,#REF!,D43,#REF!,"F4")</f>
        <v>#REF!</v>
      </c>
      <c r="G43" s="1" t="e">
        <f t="shared" ref="G43:G74" si="2">E43+F43</f>
        <v>#REF!</v>
      </c>
      <c r="H43" s="1" t="e">
        <f>COUNTIFS(#REF!,B43,#REF!,C43,#REF!,D43,#REF!,"Trước RS")</f>
        <v>#REF!</v>
      </c>
      <c r="I43" s="1" t="e">
        <f>COUNTIFS(#REF!,B43,#REF!,C43,#REF!,D43,#REF!,"Sau RS")</f>
        <v>#REF!</v>
      </c>
      <c r="J43" s="6" t="e">
        <f>SUMIFS(#REF!,#REF!,B43,#REF!,C43,#REF!,D43)</f>
        <v>#REF!</v>
      </c>
      <c r="K43" s="7" t="e">
        <f t="shared" ref="K43:K74" si="3">J43/$B$7</f>
        <v>#REF!</v>
      </c>
    </row>
    <row r="44" spans="1:11" ht="24" customHeight="1">
      <c r="A44" s="1" t="s">
        <v>9</v>
      </c>
      <c r="B44" s="1" t="s">
        <v>31</v>
      </c>
      <c r="C44" s="1" t="s">
        <v>43</v>
      </c>
      <c r="D44" s="1" t="s">
        <v>50</v>
      </c>
      <c r="E44" s="1" t="e">
        <f>COUNTIFS(#REF!,B44,#REF!,C44,#REF!,D44,#REF!,"F2")</f>
        <v>#REF!</v>
      </c>
      <c r="F44" s="1" t="e">
        <f>COUNTIFS(#REF!,B44,#REF!,C44,#REF!,D44,#REF!,"F4")</f>
        <v>#REF!</v>
      </c>
      <c r="G44" s="1" t="e">
        <f t="shared" si="2"/>
        <v>#REF!</v>
      </c>
      <c r="H44" s="1" t="e">
        <f>COUNTIFS(#REF!,B44,#REF!,C44,#REF!,D44,#REF!,"Trước RS")</f>
        <v>#REF!</v>
      </c>
      <c r="I44" s="1" t="e">
        <f>COUNTIFS(#REF!,B44,#REF!,C44,#REF!,D44,#REF!,"Sau RS")</f>
        <v>#REF!</v>
      </c>
      <c r="J44" s="6" t="e">
        <f>SUMIFS(#REF!,#REF!,B44,#REF!,C44,#REF!,D44)</f>
        <v>#REF!</v>
      </c>
      <c r="K44" s="7" t="e">
        <f t="shared" si="3"/>
        <v>#REF!</v>
      </c>
    </row>
    <row r="45" spans="1:11" ht="24" customHeight="1">
      <c r="A45" s="1" t="s">
        <v>9</v>
      </c>
      <c r="B45" s="1" t="s">
        <v>31</v>
      </c>
      <c r="C45" s="1" t="s">
        <v>43</v>
      </c>
      <c r="D45" s="1" t="s">
        <v>51</v>
      </c>
      <c r="E45" s="1" t="e">
        <f>COUNTIFS(#REF!,B45,#REF!,C45,#REF!,D45,#REF!,"F2")</f>
        <v>#REF!</v>
      </c>
      <c r="F45" s="1" t="e">
        <f>COUNTIFS(#REF!,B45,#REF!,C45,#REF!,D45,#REF!,"F4")</f>
        <v>#REF!</v>
      </c>
      <c r="G45" s="1" t="e">
        <f t="shared" si="2"/>
        <v>#REF!</v>
      </c>
      <c r="H45" s="1" t="e">
        <f>COUNTIFS(#REF!,B45,#REF!,C45,#REF!,D45,#REF!,"Trước RS")</f>
        <v>#REF!</v>
      </c>
      <c r="I45" s="1" t="e">
        <f>COUNTIFS(#REF!,B45,#REF!,C45,#REF!,D45,#REF!,"Sau RS")</f>
        <v>#REF!</v>
      </c>
      <c r="J45" s="6" t="e">
        <f>SUMIFS(#REF!,#REF!,B45,#REF!,C45,#REF!,D45)</f>
        <v>#REF!</v>
      </c>
      <c r="K45" s="7" t="e">
        <f t="shared" si="3"/>
        <v>#REF!</v>
      </c>
    </row>
    <row r="46" spans="1:11" ht="24" customHeight="1">
      <c r="A46" s="3" t="s">
        <v>8</v>
      </c>
      <c r="B46" s="3" t="s">
        <v>31</v>
      </c>
      <c r="C46" s="3" t="s">
        <v>52</v>
      </c>
      <c r="D46" s="3"/>
      <c r="E46" s="3" t="e">
        <f>COUNTIFS(#REF!,B46,#REF!,C46,#REF!,"F2")</f>
        <v>#REF!</v>
      </c>
      <c r="F46" s="3" t="e">
        <f>COUNTIFS(#REF!,B46,#REF!,C46,#REF!,"F4")</f>
        <v>#REF!</v>
      </c>
      <c r="G46" s="3" t="e">
        <f t="shared" si="2"/>
        <v>#REF!</v>
      </c>
      <c r="H46" s="3" t="e">
        <f>COUNTIFS(#REF!,B46,#REF!,C46,#REF!,"Trước RS")</f>
        <v>#REF!</v>
      </c>
      <c r="I46" s="3" t="e">
        <f>COUNTIFS(#REF!,B46,#REF!,C46,#REF!,"Sau RS")</f>
        <v>#REF!</v>
      </c>
      <c r="J46" s="9" t="e">
        <f>SUMIFS(#REF!,#REF!,B46,#REF!,C46)</f>
        <v>#REF!</v>
      </c>
      <c r="K46" s="11" t="e">
        <f t="shared" si="3"/>
        <v>#REF!</v>
      </c>
    </row>
    <row r="47" spans="1:11" ht="24" customHeight="1">
      <c r="A47" s="1" t="s">
        <v>9</v>
      </c>
      <c r="B47" s="1" t="s">
        <v>31</v>
      </c>
      <c r="C47" s="1" t="s">
        <v>52</v>
      </c>
      <c r="D47" s="1" t="s">
        <v>53</v>
      </c>
      <c r="E47" s="1" t="e">
        <f>COUNTIFS(#REF!,B47,#REF!,C47,#REF!,D47,#REF!,"F2")</f>
        <v>#REF!</v>
      </c>
      <c r="F47" s="1" t="e">
        <f>COUNTIFS(#REF!,B47,#REF!,C47,#REF!,D47,#REF!,"F4")</f>
        <v>#REF!</v>
      </c>
      <c r="G47" s="1" t="e">
        <f t="shared" si="2"/>
        <v>#REF!</v>
      </c>
      <c r="H47" s="1" t="e">
        <f>COUNTIFS(#REF!,B47,#REF!,C47,#REF!,D47,#REF!,"Trước RS")</f>
        <v>#REF!</v>
      </c>
      <c r="I47" s="1" t="e">
        <f>COUNTIFS(#REF!,B47,#REF!,C47,#REF!,D47,#REF!,"Sau RS")</f>
        <v>#REF!</v>
      </c>
      <c r="J47" s="6" t="e">
        <f>SUMIFS(#REF!,#REF!,B47,#REF!,C47,#REF!,D47)</f>
        <v>#REF!</v>
      </c>
      <c r="K47" s="7" t="e">
        <f t="shared" si="3"/>
        <v>#REF!</v>
      </c>
    </row>
    <row r="48" spans="1:11" ht="24" customHeight="1">
      <c r="A48" s="1" t="s">
        <v>9</v>
      </c>
      <c r="B48" s="1" t="s">
        <v>31</v>
      </c>
      <c r="C48" s="1" t="s">
        <v>52</v>
      </c>
      <c r="D48" s="1" t="s">
        <v>54</v>
      </c>
      <c r="E48" s="1" t="e">
        <f>COUNTIFS(#REF!,B48,#REF!,C48,#REF!,D48,#REF!,"F2")</f>
        <v>#REF!</v>
      </c>
      <c r="F48" s="1" t="e">
        <f>COUNTIFS(#REF!,B48,#REF!,C48,#REF!,D48,#REF!,"F4")</f>
        <v>#REF!</v>
      </c>
      <c r="G48" s="1" t="e">
        <f t="shared" si="2"/>
        <v>#REF!</v>
      </c>
      <c r="H48" s="1" t="e">
        <f>COUNTIFS(#REF!,B48,#REF!,C48,#REF!,D48,#REF!,"Trước RS")</f>
        <v>#REF!</v>
      </c>
      <c r="I48" s="1" t="e">
        <f>COUNTIFS(#REF!,B48,#REF!,C48,#REF!,D48,#REF!,"Sau RS")</f>
        <v>#REF!</v>
      </c>
      <c r="J48" s="6" t="e">
        <f>SUMIFS(#REF!,#REF!,B48,#REF!,C48,#REF!,D48)</f>
        <v>#REF!</v>
      </c>
      <c r="K48" s="7" t="e">
        <f t="shared" si="3"/>
        <v>#REF!</v>
      </c>
    </row>
    <row r="49" spans="1:11" ht="24" customHeight="1">
      <c r="A49" s="1" t="s">
        <v>9</v>
      </c>
      <c r="B49" s="1" t="s">
        <v>31</v>
      </c>
      <c r="C49" s="1" t="s">
        <v>52</v>
      </c>
      <c r="D49" s="1" t="s">
        <v>55</v>
      </c>
      <c r="E49" s="1" t="e">
        <f>COUNTIFS(#REF!,B49,#REF!,C49,#REF!,D49,#REF!,"F2")</f>
        <v>#REF!</v>
      </c>
      <c r="F49" s="1" t="e">
        <f>COUNTIFS(#REF!,B49,#REF!,C49,#REF!,D49,#REF!,"F4")</f>
        <v>#REF!</v>
      </c>
      <c r="G49" s="1" t="e">
        <f t="shared" si="2"/>
        <v>#REF!</v>
      </c>
      <c r="H49" s="1" t="e">
        <f>COUNTIFS(#REF!,B49,#REF!,C49,#REF!,D49,#REF!,"Trước RS")</f>
        <v>#REF!</v>
      </c>
      <c r="I49" s="1" t="e">
        <f>COUNTIFS(#REF!,B49,#REF!,C49,#REF!,D49,#REF!,"Sau RS")</f>
        <v>#REF!</v>
      </c>
      <c r="J49" s="6" t="e">
        <f>SUMIFS(#REF!,#REF!,B49,#REF!,C49,#REF!,D49)</f>
        <v>#REF!</v>
      </c>
      <c r="K49" s="7" t="e">
        <f t="shared" si="3"/>
        <v>#REF!</v>
      </c>
    </row>
    <row r="50" spans="1:11" ht="24" customHeight="1">
      <c r="A50" s="1" t="s">
        <v>9</v>
      </c>
      <c r="B50" s="1" t="s">
        <v>31</v>
      </c>
      <c r="C50" s="1" t="s">
        <v>52</v>
      </c>
      <c r="D50" s="1" t="s">
        <v>56</v>
      </c>
      <c r="E50" s="1" t="e">
        <f>COUNTIFS(#REF!,B50,#REF!,C50,#REF!,D50,#REF!,"F2")</f>
        <v>#REF!</v>
      </c>
      <c r="F50" s="1" t="e">
        <f>COUNTIFS(#REF!,B50,#REF!,C50,#REF!,D50,#REF!,"F4")</f>
        <v>#REF!</v>
      </c>
      <c r="G50" s="1" t="e">
        <f t="shared" si="2"/>
        <v>#REF!</v>
      </c>
      <c r="H50" s="1" t="e">
        <f>COUNTIFS(#REF!,B50,#REF!,C50,#REF!,D50,#REF!,"Trước RS")</f>
        <v>#REF!</v>
      </c>
      <c r="I50" s="1" t="e">
        <f>COUNTIFS(#REF!,B50,#REF!,C50,#REF!,D50,#REF!,"Sau RS")</f>
        <v>#REF!</v>
      </c>
      <c r="J50" s="6" t="e">
        <f>SUMIFS(#REF!,#REF!,B50,#REF!,C50,#REF!,D50)</f>
        <v>#REF!</v>
      </c>
      <c r="K50" s="7" t="e">
        <f t="shared" si="3"/>
        <v>#REF!</v>
      </c>
    </row>
    <row r="51" spans="1:11" ht="24" customHeight="1">
      <c r="A51" s="1" t="s">
        <v>9</v>
      </c>
      <c r="B51" s="1" t="s">
        <v>31</v>
      </c>
      <c r="C51" s="1" t="s">
        <v>52</v>
      </c>
      <c r="D51" s="1" t="s">
        <v>57</v>
      </c>
      <c r="E51" s="1" t="e">
        <f>COUNTIFS(#REF!,B51,#REF!,C51,#REF!,D51,#REF!,"F2")</f>
        <v>#REF!</v>
      </c>
      <c r="F51" s="1" t="e">
        <f>COUNTIFS(#REF!,B51,#REF!,C51,#REF!,D51,#REF!,"F4")</f>
        <v>#REF!</v>
      </c>
      <c r="G51" s="1" t="e">
        <f t="shared" si="2"/>
        <v>#REF!</v>
      </c>
      <c r="H51" s="1" t="e">
        <f>COUNTIFS(#REF!,B51,#REF!,C51,#REF!,D51,#REF!,"Trước RS")</f>
        <v>#REF!</v>
      </c>
      <c r="I51" s="1" t="e">
        <f>COUNTIFS(#REF!,B51,#REF!,C51,#REF!,D51,#REF!,"Sau RS")</f>
        <v>#REF!</v>
      </c>
      <c r="J51" s="6" t="e">
        <f>SUMIFS(#REF!,#REF!,B51,#REF!,C51,#REF!,D51)</f>
        <v>#REF!</v>
      </c>
      <c r="K51" s="7" t="e">
        <f t="shared" si="3"/>
        <v>#REF!</v>
      </c>
    </row>
    <row r="52" spans="1:11" ht="24" customHeight="1">
      <c r="A52" s="1" t="s">
        <v>9</v>
      </c>
      <c r="B52" s="1" t="s">
        <v>31</v>
      </c>
      <c r="C52" s="1" t="s">
        <v>52</v>
      </c>
      <c r="D52" s="1" t="s">
        <v>58</v>
      </c>
      <c r="E52" s="1" t="e">
        <f>COUNTIFS(#REF!,B52,#REF!,C52,#REF!,D52,#REF!,"F2")</f>
        <v>#REF!</v>
      </c>
      <c r="F52" s="1" t="e">
        <f>COUNTIFS(#REF!,B52,#REF!,C52,#REF!,D52,#REF!,"F4")</f>
        <v>#REF!</v>
      </c>
      <c r="G52" s="1" t="e">
        <f t="shared" si="2"/>
        <v>#REF!</v>
      </c>
      <c r="H52" s="1" t="e">
        <f>COUNTIFS(#REF!,B52,#REF!,C52,#REF!,D52,#REF!,"Trước RS")</f>
        <v>#REF!</v>
      </c>
      <c r="I52" s="1" t="e">
        <f>COUNTIFS(#REF!,B52,#REF!,C52,#REF!,D52,#REF!,"Sau RS")</f>
        <v>#REF!</v>
      </c>
      <c r="J52" s="6" t="e">
        <f>SUMIFS(#REF!,#REF!,B52,#REF!,C52,#REF!,D52)</f>
        <v>#REF!</v>
      </c>
      <c r="K52" s="7" t="e">
        <f t="shared" si="3"/>
        <v>#REF!</v>
      </c>
    </row>
    <row r="53" spans="1:11" ht="24" customHeight="1">
      <c r="A53" s="1" t="s">
        <v>9</v>
      </c>
      <c r="B53" s="1" t="s">
        <v>31</v>
      </c>
      <c r="C53" s="1" t="s">
        <v>52</v>
      </c>
      <c r="D53" s="1" t="s">
        <v>59</v>
      </c>
      <c r="E53" s="1" t="e">
        <f>COUNTIFS(#REF!,B53,#REF!,C53,#REF!,D53,#REF!,"F2")</f>
        <v>#REF!</v>
      </c>
      <c r="F53" s="1" t="e">
        <f>COUNTIFS(#REF!,B53,#REF!,C53,#REF!,D53,#REF!,"F4")</f>
        <v>#REF!</v>
      </c>
      <c r="G53" s="1" t="e">
        <f t="shared" si="2"/>
        <v>#REF!</v>
      </c>
      <c r="H53" s="1" t="e">
        <f>COUNTIFS(#REF!,B53,#REF!,C53,#REF!,D53,#REF!,"Trước RS")</f>
        <v>#REF!</v>
      </c>
      <c r="I53" s="1" t="e">
        <f>COUNTIFS(#REF!,B53,#REF!,C53,#REF!,D53,#REF!,"Sau RS")</f>
        <v>#REF!</v>
      </c>
      <c r="J53" s="6" t="e">
        <f>SUMIFS(#REF!,#REF!,B53,#REF!,C53,#REF!,D53)</f>
        <v>#REF!</v>
      </c>
      <c r="K53" s="7" t="e">
        <f t="shared" si="3"/>
        <v>#REF!</v>
      </c>
    </row>
    <row r="54" spans="1:11" ht="24" customHeight="1">
      <c r="A54" s="1" t="s">
        <v>9</v>
      </c>
      <c r="B54" s="1" t="s">
        <v>31</v>
      </c>
      <c r="C54" s="1" t="s">
        <v>52</v>
      </c>
      <c r="D54" s="1" t="s">
        <v>60</v>
      </c>
      <c r="E54" s="1" t="e">
        <f>COUNTIFS(#REF!,B54,#REF!,C54,#REF!,D54,#REF!,"F2")</f>
        <v>#REF!</v>
      </c>
      <c r="F54" s="1" t="e">
        <f>COUNTIFS(#REF!,B54,#REF!,C54,#REF!,D54,#REF!,"F4")</f>
        <v>#REF!</v>
      </c>
      <c r="G54" s="1" t="e">
        <f t="shared" si="2"/>
        <v>#REF!</v>
      </c>
      <c r="H54" s="1" t="e">
        <f>COUNTIFS(#REF!,B54,#REF!,C54,#REF!,D54,#REF!,"Trước RS")</f>
        <v>#REF!</v>
      </c>
      <c r="I54" s="1" t="e">
        <f>COUNTIFS(#REF!,B54,#REF!,C54,#REF!,D54,#REF!,"Sau RS")</f>
        <v>#REF!</v>
      </c>
      <c r="J54" s="6" t="e">
        <f>SUMIFS(#REF!,#REF!,B54,#REF!,C54,#REF!,D54)</f>
        <v>#REF!</v>
      </c>
      <c r="K54" s="7" t="e">
        <f t="shared" si="3"/>
        <v>#REF!</v>
      </c>
    </row>
    <row r="55" spans="1:11" ht="24" customHeight="1">
      <c r="A55" s="1" t="s">
        <v>9</v>
      </c>
      <c r="B55" s="1" t="s">
        <v>31</v>
      </c>
      <c r="C55" s="1" t="s">
        <v>52</v>
      </c>
      <c r="D55" s="1" t="s">
        <v>61</v>
      </c>
      <c r="E55" s="1" t="e">
        <f>COUNTIFS(#REF!,B55,#REF!,C55,#REF!,D55,#REF!,"F2")</f>
        <v>#REF!</v>
      </c>
      <c r="F55" s="1" t="e">
        <f>COUNTIFS(#REF!,B55,#REF!,C55,#REF!,D55,#REF!,"F4")</f>
        <v>#REF!</v>
      </c>
      <c r="G55" s="1" t="e">
        <f t="shared" si="2"/>
        <v>#REF!</v>
      </c>
      <c r="H55" s="1" t="e">
        <f>COUNTIFS(#REF!,B55,#REF!,C55,#REF!,D55,#REF!,"Trước RS")</f>
        <v>#REF!</v>
      </c>
      <c r="I55" s="1" t="e">
        <f>COUNTIFS(#REF!,B55,#REF!,C55,#REF!,D55,#REF!,"Sau RS")</f>
        <v>#REF!</v>
      </c>
      <c r="J55" s="6" t="e">
        <f>SUMIFS(#REF!,#REF!,B55,#REF!,C55,#REF!,D55)</f>
        <v>#REF!</v>
      </c>
      <c r="K55" s="7" t="e">
        <f t="shared" si="3"/>
        <v>#REF!</v>
      </c>
    </row>
    <row r="56" spans="1:11" ht="24" customHeight="1">
      <c r="A56" s="1" t="s">
        <v>9</v>
      </c>
      <c r="B56" s="1" t="s">
        <v>31</v>
      </c>
      <c r="C56" s="1" t="s">
        <v>52</v>
      </c>
      <c r="D56" s="1" t="s">
        <v>62</v>
      </c>
      <c r="E56" s="1" t="e">
        <f>COUNTIFS(#REF!,B56,#REF!,C56,#REF!,D56,#REF!,"F2")</f>
        <v>#REF!</v>
      </c>
      <c r="F56" s="1" t="e">
        <f>COUNTIFS(#REF!,B56,#REF!,C56,#REF!,D56,#REF!,"F4")</f>
        <v>#REF!</v>
      </c>
      <c r="G56" s="1" t="e">
        <f t="shared" si="2"/>
        <v>#REF!</v>
      </c>
      <c r="H56" s="1" t="e">
        <f>COUNTIFS(#REF!,B56,#REF!,C56,#REF!,D56,#REF!,"Trước RS")</f>
        <v>#REF!</v>
      </c>
      <c r="I56" s="1" t="e">
        <f>COUNTIFS(#REF!,B56,#REF!,C56,#REF!,D56,#REF!,"Sau RS")</f>
        <v>#REF!</v>
      </c>
      <c r="J56" s="6" t="e">
        <f>SUMIFS(#REF!,#REF!,B56,#REF!,C56,#REF!,D56)</f>
        <v>#REF!</v>
      </c>
      <c r="K56" s="7" t="e">
        <f t="shared" si="3"/>
        <v>#REF!</v>
      </c>
    </row>
    <row r="57" spans="1:11" ht="24" customHeight="1">
      <c r="A57" s="2" t="s">
        <v>7</v>
      </c>
      <c r="B57" s="2" t="s">
        <v>63</v>
      </c>
      <c r="C57" s="2"/>
      <c r="D57" s="2"/>
      <c r="E57" s="2" t="e">
        <f>COUNTIFS(#REF!,B57,#REF!,"F2")</f>
        <v>#REF!</v>
      </c>
      <c r="F57" s="2" t="e">
        <f>COUNTIFS(#REF!,B57,#REF!,"F4")</f>
        <v>#REF!</v>
      </c>
      <c r="G57" s="2" t="e">
        <f t="shared" si="2"/>
        <v>#REF!</v>
      </c>
      <c r="H57" s="2" t="e">
        <f>COUNTIFS(#REF!,B57,#REF!,"Trước RS")</f>
        <v>#REF!</v>
      </c>
      <c r="I57" s="2" t="e">
        <f>COUNTIFS(#REF!,B57,#REF!,"Sau RS")</f>
        <v>#REF!</v>
      </c>
      <c r="J57" s="8" t="e">
        <f>SUMIFS(#REF!,#REF!,B57)</f>
        <v>#REF!</v>
      </c>
      <c r="K57" s="10" t="e">
        <f t="shared" si="3"/>
        <v>#REF!</v>
      </c>
    </row>
    <row r="58" spans="1:11" ht="24" customHeight="1">
      <c r="A58" s="3" t="s">
        <v>8</v>
      </c>
      <c r="B58" s="3" t="s">
        <v>63</v>
      </c>
      <c r="C58" s="3" t="s">
        <v>64</v>
      </c>
      <c r="D58" s="3"/>
      <c r="E58" s="3" t="e">
        <f>COUNTIFS(#REF!,B58,#REF!,C58,#REF!,"F2")</f>
        <v>#REF!</v>
      </c>
      <c r="F58" s="3" t="e">
        <f>COUNTIFS(#REF!,B58,#REF!,C58,#REF!,"F4")</f>
        <v>#REF!</v>
      </c>
      <c r="G58" s="3" t="e">
        <f t="shared" si="2"/>
        <v>#REF!</v>
      </c>
      <c r="H58" s="3" t="e">
        <f>COUNTIFS(#REF!,B58,#REF!,C58,#REF!,"Trước RS")</f>
        <v>#REF!</v>
      </c>
      <c r="I58" s="3" t="e">
        <f>COUNTIFS(#REF!,B58,#REF!,C58,#REF!,"Sau RS")</f>
        <v>#REF!</v>
      </c>
      <c r="J58" s="9" t="e">
        <f>SUMIFS(#REF!,#REF!,B58,#REF!,C58)</f>
        <v>#REF!</v>
      </c>
      <c r="K58" s="11" t="e">
        <f t="shared" si="3"/>
        <v>#REF!</v>
      </c>
    </row>
    <row r="59" spans="1:11" ht="24" customHeight="1">
      <c r="A59" s="1" t="s">
        <v>9</v>
      </c>
      <c r="B59" s="1" t="s">
        <v>63</v>
      </c>
      <c r="C59" s="1" t="s">
        <v>64</v>
      </c>
      <c r="D59" s="1" t="s">
        <v>65</v>
      </c>
      <c r="E59" s="1" t="e">
        <f>COUNTIFS(#REF!,B59,#REF!,C59,#REF!,D59,#REF!,"F2")</f>
        <v>#REF!</v>
      </c>
      <c r="F59" s="1" t="e">
        <f>COUNTIFS(#REF!,B59,#REF!,C59,#REF!,D59,#REF!,"F4")</f>
        <v>#REF!</v>
      </c>
      <c r="G59" s="1" t="e">
        <f t="shared" si="2"/>
        <v>#REF!</v>
      </c>
      <c r="H59" s="1" t="e">
        <f>COUNTIFS(#REF!,B59,#REF!,C59,#REF!,D59,#REF!,"Trước RS")</f>
        <v>#REF!</v>
      </c>
      <c r="I59" s="1" t="e">
        <f>COUNTIFS(#REF!,B59,#REF!,C59,#REF!,D59,#REF!,"Sau RS")</f>
        <v>#REF!</v>
      </c>
      <c r="J59" s="6" t="e">
        <f>SUMIFS(#REF!,#REF!,B59,#REF!,C59,#REF!,D59)</f>
        <v>#REF!</v>
      </c>
      <c r="K59" s="7" t="e">
        <f t="shared" si="3"/>
        <v>#REF!</v>
      </c>
    </row>
    <row r="60" spans="1:11" ht="24" customHeight="1">
      <c r="A60" s="1" t="s">
        <v>9</v>
      </c>
      <c r="B60" s="1" t="s">
        <v>63</v>
      </c>
      <c r="C60" s="1" t="s">
        <v>64</v>
      </c>
      <c r="D60" s="1" t="s">
        <v>66</v>
      </c>
      <c r="E60" s="1" t="e">
        <f>COUNTIFS(#REF!,B60,#REF!,C60,#REF!,D60,#REF!,"F2")</f>
        <v>#REF!</v>
      </c>
      <c r="F60" s="1" t="e">
        <f>COUNTIFS(#REF!,B60,#REF!,C60,#REF!,D60,#REF!,"F4")</f>
        <v>#REF!</v>
      </c>
      <c r="G60" s="1" t="e">
        <f t="shared" si="2"/>
        <v>#REF!</v>
      </c>
      <c r="H60" s="1" t="e">
        <f>COUNTIFS(#REF!,B60,#REF!,C60,#REF!,D60,#REF!,"Trước RS")</f>
        <v>#REF!</v>
      </c>
      <c r="I60" s="1" t="e">
        <f>COUNTIFS(#REF!,B60,#REF!,C60,#REF!,D60,#REF!,"Sau RS")</f>
        <v>#REF!</v>
      </c>
      <c r="J60" s="6" t="e">
        <f>SUMIFS(#REF!,#REF!,B60,#REF!,C60,#REF!,D60)</f>
        <v>#REF!</v>
      </c>
      <c r="K60" s="7" t="e">
        <f t="shared" si="3"/>
        <v>#REF!</v>
      </c>
    </row>
    <row r="61" spans="1:11" ht="24" customHeight="1">
      <c r="A61" s="1" t="s">
        <v>9</v>
      </c>
      <c r="B61" s="1" t="s">
        <v>63</v>
      </c>
      <c r="C61" s="1" t="s">
        <v>64</v>
      </c>
      <c r="D61" s="1" t="s">
        <v>67</v>
      </c>
      <c r="E61" s="1" t="e">
        <f>COUNTIFS(#REF!,B61,#REF!,C61,#REF!,D61,#REF!,"F2")</f>
        <v>#REF!</v>
      </c>
      <c r="F61" s="1" t="e">
        <f>COUNTIFS(#REF!,B61,#REF!,C61,#REF!,D61,#REF!,"F4")</f>
        <v>#REF!</v>
      </c>
      <c r="G61" s="1" t="e">
        <f t="shared" si="2"/>
        <v>#REF!</v>
      </c>
      <c r="H61" s="1" t="e">
        <f>COUNTIFS(#REF!,B61,#REF!,C61,#REF!,D61,#REF!,"Trước RS")</f>
        <v>#REF!</v>
      </c>
      <c r="I61" s="1" t="e">
        <f>COUNTIFS(#REF!,B61,#REF!,C61,#REF!,D61,#REF!,"Sau RS")</f>
        <v>#REF!</v>
      </c>
      <c r="J61" s="6" t="e">
        <f>SUMIFS(#REF!,#REF!,B61,#REF!,C61,#REF!,D61)</f>
        <v>#REF!</v>
      </c>
      <c r="K61" s="7" t="e">
        <f t="shared" si="3"/>
        <v>#REF!</v>
      </c>
    </row>
    <row r="62" spans="1:11" ht="24" customHeight="1">
      <c r="A62" s="1" t="s">
        <v>9</v>
      </c>
      <c r="B62" s="1" t="s">
        <v>63</v>
      </c>
      <c r="C62" s="1" t="s">
        <v>64</v>
      </c>
      <c r="D62" s="1" t="s">
        <v>68</v>
      </c>
      <c r="E62" s="1" t="e">
        <f>COUNTIFS(#REF!,B62,#REF!,C62,#REF!,D62,#REF!,"F2")</f>
        <v>#REF!</v>
      </c>
      <c r="F62" s="1" t="e">
        <f>COUNTIFS(#REF!,B62,#REF!,C62,#REF!,D62,#REF!,"F4")</f>
        <v>#REF!</v>
      </c>
      <c r="G62" s="1" t="e">
        <f t="shared" si="2"/>
        <v>#REF!</v>
      </c>
      <c r="H62" s="1" t="e">
        <f>COUNTIFS(#REF!,B62,#REF!,C62,#REF!,D62,#REF!,"Trước RS")</f>
        <v>#REF!</v>
      </c>
      <c r="I62" s="1" t="e">
        <f>COUNTIFS(#REF!,B62,#REF!,C62,#REF!,D62,#REF!,"Sau RS")</f>
        <v>#REF!</v>
      </c>
      <c r="J62" s="6" t="e">
        <f>SUMIFS(#REF!,#REF!,B62,#REF!,C62,#REF!,D62)</f>
        <v>#REF!</v>
      </c>
      <c r="K62" s="7" t="e">
        <f t="shared" si="3"/>
        <v>#REF!</v>
      </c>
    </row>
    <row r="63" spans="1:11" ht="24" customHeight="1">
      <c r="A63" s="1" t="s">
        <v>9</v>
      </c>
      <c r="B63" s="1" t="s">
        <v>63</v>
      </c>
      <c r="C63" s="1" t="s">
        <v>64</v>
      </c>
      <c r="D63" s="1" t="s">
        <v>69</v>
      </c>
      <c r="E63" s="1" t="e">
        <f>COUNTIFS(#REF!,B63,#REF!,C63,#REF!,D63,#REF!,"F2")</f>
        <v>#REF!</v>
      </c>
      <c r="F63" s="1" t="e">
        <f>COUNTIFS(#REF!,B63,#REF!,C63,#REF!,D63,#REF!,"F4")</f>
        <v>#REF!</v>
      </c>
      <c r="G63" s="1" t="e">
        <f t="shared" si="2"/>
        <v>#REF!</v>
      </c>
      <c r="H63" s="1" t="e">
        <f>COUNTIFS(#REF!,B63,#REF!,C63,#REF!,D63,#REF!,"Trước RS")</f>
        <v>#REF!</v>
      </c>
      <c r="I63" s="1" t="e">
        <f>COUNTIFS(#REF!,B63,#REF!,C63,#REF!,D63,#REF!,"Sau RS")</f>
        <v>#REF!</v>
      </c>
      <c r="J63" s="6" t="e">
        <f>SUMIFS(#REF!,#REF!,B63,#REF!,C63,#REF!,D63)</f>
        <v>#REF!</v>
      </c>
      <c r="K63" s="7" t="e">
        <f t="shared" si="3"/>
        <v>#REF!</v>
      </c>
    </row>
    <row r="64" spans="1:11" ht="24" customHeight="1">
      <c r="A64" s="1" t="s">
        <v>9</v>
      </c>
      <c r="B64" s="1" t="s">
        <v>63</v>
      </c>
      <c r="C64" s="1" t="s">
        <v>64</v>
      </c>
      <c r="D64" s="1" t="s">
        <v>70</v>
      </c>
      <c r="E64" s="1" t="e">
        <f>COUNTIFS(#REF!,B64,#REF!,C64,#REF!,D64,#REF!,"F2")</f>
        <v>#REF!</v>
      </c>
      <c r="F64" s="1" t="e">
        <f>COUNTIFS(#REF!,B64,#REF!,C64,#REF!,D64,#REF!,"F4")</f>
        <v>#REF!</v>
      </c>
      <c r="G64" s="1" t="e">
        <f t="shared" si="2"/>
        <v>#REF!</v>
      </c>
      <c r="H64" s="1" t="e">
        <f>COUNTIFS(#REF!,B64,#REF!,C64,#REF!,D64,#REF!,"Trước RS")</f>
        <v>#REF!</v>
      </c>
      <c r="I64" s="1" t="e">
        <f>COUNTIFS(#REF!,B64,#REF!,C64,#REF!,D64,#REF!,"Sau RS")</f>
        <v>#REF!</v>
      </c>
      <c r="J64" s="6" t="e">
        <f>SUMIFS(#REF!,#REF!,B64,#REF!,C64,#REF!,D64)</f>
        <v>#REF!</v>
      </c>
      <c r="K64" s="7" t="e">
        <f t="shared" si="3"/>
        <v>#REF!</v>
      </c>
    </row>
    <row r="65" spans="1:11" ht="24" customHeight="1">
      <c r="A65" s="1" t="s">
        <v>9</v>
      </c>
      <c r="B65" s="1" t="s">
        <v>63</v>
      </c>
      <c r="C65" s="1" t="s">
        <v>64</v>
      </c>
      <c r="D65" s="1" t="s">
        <v>71</v>
      </c>
      <c r="E65" s="1" t="e">
        <f>COUNTIFS(#REF!,B65,#REF!,C65,#REF!,D65,#REF!,"F2")</f>
        <v>#REF!</v>
      </c>
      <c r="F65" s="1" t="e">
        <f>COUNTIFS(#REF!,B65,#REF!,C65,#REF!,D65,#REF!,"F4")</f>
        <v>#REF!</v>
      </c>
      <c r="G65" s="1" t="e">
        <f t="shared" si="2"/>
        <v>#REF!</v>
      </c>
      <c r="H65" s="1" t="e">
        <f>COUNTIFS(#REF!,B65,#REF!,C65,#REF!,D65,#REF!,"Trước RS")</f>
        <v>#REF!</v>
      </c>
      <c r="I65" s="1" t="e">
        <f>COUNTIFS(#REF!,B65,#REF!,C65,#REF!,D65,#REF!,"Sau RS")</f>
        <v>#REF!</v>
      </c>
      <c r="J65" s="6" t="e">
        <f>SUMIFS(#REF!,#REF!,B65,#REF!,C65,#REF!,D65)</f>
        <v>#REF!</v>
      </c>
      <c r="K65" s="7" t="e">
        <f t="shared" si="3"/>
        <v>#REF!</v>
      </c>
    </row>
    <row r="66" spans="1:11" ht="24" customHeight="1">
      <c r="A66" s="2" t="s">
        <v>7</v>
      </c>
      <c r="B66" s="2" t="s">
        <v>72</v>
      </c>
      <c r="C66" s="2"/>
      <c r="D66" s="2"/>
      <c r="E66" s="2" t="e">
        <f>COUNTIFS(#REF!,B66,#REF!,"F2")</f>
        <v>#REF!</v>
      </c>
      <c r="F66" s="2" t="e">
        <f>COUNTIFS(#REF!,B66,#REF!,"F4")</f>
        <v>#REF!</v>
      </c>
      <c r="G66" s="2" t="e">
        <f t="shared" si="2"/>
        <v>#REF!</v>
      </c>
      <c r="H66" s="2" t="e">
        <f>COUNTIFS(#REF!,B66,#REF!,"Trước RS")</f>
        <v>#REF!</v>
      </c>
      <c r="I66" s="2" t="e">
        <f>COUNTIFS(#REF!,B66,#REF!,"Sau RS")</f>
        <v>#REF!</v>
      </c>
      <c r="J66" s="8" t="e">
        <f>SUMIFS(#REF!,#REF!,B66)</f>
        <v>#REF!</v>
      </c>
      <c r="K66" s="10" t="e">
        <f t="shared" si="3"/>
        <v>#REF!</v>
      </c>
    </row>
    <row r="67" spans="1:11" ht="24" customHeight="1">
      <c r="A67" s="3" t="s">
        <v>8</v>
      </c>
      <c r="B67" s="3" t="s">
        <v>72</v>
      </c>
      <c r="C67" s="3" t="s">
        <v>73</v>
      </c>
      <c r="D67" s="3"/>
      <c r="E67" s="3" t="e">
        <f>COUNTIFS(#REF!,B67,#REF!,C67,#REF!,"F2")</f>
        <v>#REF!</v>
      </c>
      <c r="F67" s="3" t="e">
        <f>COUNTIFS(#REF!,B67,#REF!,C67,#REF!,"F4")</f>
        <v>#REF!</v>
      </c>
      <c r="G67" s="3" t="e">
        <f t="shared" si="2"/>
        <v>#REF!</v>
      </c>
      <c r="H67" s="3" t="e">
        <f>COUNTIFS(#REF!,B67,#REF!,C67,#REF!,"Trước RS")</f>
        <v>#REF!</v>
      </c>
      <c r="I67" s="3" t="e">
        <f>COUNTIFS(#REF!,B67,#REF!,C67,#REF!,"Sau RS")</f>
        <v>#REF!</v>
      </c>
      <c r="J67" s="9" t="e">
        <f>SUMIFS(#REF!,#REF!,B67,#REF!,C67)</f>
        <v>#REF!</v>
      </c>
      <c r="K67" s="11" t="e">
        <f t="shared" si="3"/>
        <v>#REF!</v>
      </c>
    </row>
    <row r="68" spans="1:11" ht="24" customHeight="1">
      <c r="A68" s="1" t="s">
        <v>9</v>
      </c>
      <c r="B68" s="1" t="s">
        <v>72</v>
      </c>
      <c r="C68" s="1" t="s">
        <v>73</v>
      </c>
      <c r="D68" s="1" t="s">
        <v>74</v>
      </c>
      <c r="E68" s="1" t="e">
        <f>COUNTIFS(#REF!,B68,#REF!,C68,#REF!,D68,#REF!,"F2")</f>
        <v>#REF!</v>
      </c>
      <c r="F68" s="1" t="e">
        <f>COUNTIFS(#REF!,B68,#REF!,C68,#REF!,D68,#REF!,"F4")</f>
        <v>#REF!</v>
      </c>
      <c r="G68" s="1" t="e">
        <f t="shared" si="2"/>
        <v>#REF!</v>
      </c>
      <c r="H68" s="1" t="e">
        <f>COUNTIFS(#REF!,B68,#REF!,C68,#REF!,D68,#REF!,"Trước RS")</f>
        <v>#REF!</v>
      </c>
      <c r="I68" s="1" t="e">
        <f>COUNTIFS(#REF!,B68,#REF!,C68,#REF!,D68,#REF!,"Sau RS")</f>
        <v>#REF!</v>
      </c>
      <c r="J68" s="6" t="e">
        <f>SUMIFS(#REF!,#REF!,B68,#REF!,C68,#REF!,D68)</f>
        <v>#REF!</v>
      </c>
      <c r="K68" s="7" t="e">
        <f t="shared" si="3"/>
        <v>#REF!</v>
      </c>
    </row>
    <row r="69" spans="1:11" ht="24" customHeight="1">
      <c r="A69" s="1" t="s">
        <v>9</v>
      </c>
      <c r="B69" s="1" t="s">
        <v>72</v>
      </c>
      <c r="C69" s="1" t="s">
        <v>73</v>
      </c>
      <c r="D69" s="1" t="s">
        <v>75</v>
      </c>
      <c r="E69" s="1" t="e">
        <f>COUNTIFS(#REF!,B69,#REF!,C69,#REF!,D69,#REF!,"F2")</f>
        <v>#REF!</v>
      </c>
      <c r="F69" s="1" t="e">
        <f>COUNTIFS(#REF!,B69,#REF!,C69,#REF!,D69,#REF!,"F4")</f>
        <v>#REF!</v>
      </c>
      <c r="G69" s="1" t="e">
        <f t="shared" si="2"/>
        <v>#REF!</v>
      </c>
      <c r="H69" s="1" t="e">
        <f>COUNTIFS(#REF!,B69,#REF!,C69,#REF!,D69,#REF!,"Trước RS")</f>
        <v>#REF!</v>
      </c>
      <c r="I69" s="1" t="e">
        <f>COUNTIFS(#REF!,B69,#REF!,C69,#REF!,D69,#REF!,"Sau RS")</f>
        <v>#REF!</v>
      </c>
      <c r="J69" s="6" t="e">
        <f>SUMIFS(#REF!,#REF!,B69,#REF!,C69,#REF!,D69)</f>
        <v>#REF!</v>
      </c>
      <c r="K69" s="7" t="e">
        <f t="shared" si="3"/>
        <v>#REF!</v>
      </c>
    </row>
    <row r="70" spans="1:11" ht="24" customHeight="1">
      <c r="A70" s="1" t="s">
        <v>9</v>
      </c>
      <c r="B70" s="1" t="s">
        <v>72</v>
      </c>
      <c r="C70" s="1" t="s">
        <v>73</v>
      </c>
      <c r="D70" s="1" t="s">
        <v>76</v>
      </c>
      <c r="E70" s="1" t="e">
        <f>COUNTIFS(#REF!,B70,#REF!,C70,#REF!,D70,#REF!,"F2")</f>
        <v>#REF!</v>
      </c>
      <c r="F70" s="1" t="e">
        <f>COUNTIFS(#REF!,B70,#REF!,C70,#REF!,D70,#REF!,"F4")</f>
        <v>#REF!</v>
      </c>
      <c r="G70" s="1" t="e">
        <f t="shared" si="2"/>
        <v>#REF!</v>
      </c>
      <c r="H70" s="1" t="e">
        <f>COUNTIFS(#REF!,B70,#REF!,C70,#REF!,D70,#REF!,"Trước RS")</f>
        <v>#REF!</v>
      </c>
      <c r="I70" s="1" t="e">
        <f>COUNTIFS(#REF!,B70,#REF!,C70,#REF!,D70,#REF!,"Sau RS")</f>
        <v>#REF!</v>
      </c>
      <c r="J70" s="6" t="e">
        <f>SUMIFS(#REF!,#REF!,B70,#REF!,C70,#REF!,D70)</f>
        <v>#REF!</v>
      </c>
      <c r="K70" s="7" t="e">
        <f t="shared" si="3"/>
        <v>#REF!</v>
      </c>
    </row>
    <row r="71" spans="1:11" ht="24" customHeight="1">
      <c r="A71" s="1" t="s">
        <v>9</v>
      </c>
      <c r="B71" s="1" t="s">
        <v>72</v>
      </c>
      <c r="C71" s="1" t="s">
        <v>73</v>
      </c>
      <c r="D71" s="1" t="s">
        <v>77</v>
      </c>
      <c r="E71" s="1" t="e">
        <f>COUNTIFS(#REF!,B71,#REF!,C71,#REF!,D71,#REF!,"F2")</f>
        <v>#REF!</v>
      </c>
      <c r="F71" s="1" t="e">
        <f>COUNTIFS(#REF!,B71,#REF!,C71,#REF!,D71,#REF!,"F4")</f>
        <v>#REF!</v>
      </c>
      <c r="G71" s="1" t="e">
        <f t="shared" si="2"/>
        <v>#REF!</v>
      </c>
      <c r="H71" s="1" t="e">
        <f>COUNTIFS(#REF!,B71,#REF!,C71,#REF!,D71,#REF!,"Trước RS")</f>
        <v>#REF!</v>
      </c>
      <c r="I71" s="1" t="e">
        <f>COUNTIFS(#REF!,B71,#REF!,C71,#REF!,D71,#REF!,"Sau RS")</f>
        <v>#REF!</v>
      </c>
      <c r="J71" s="6" t="e">
        <f>SUMIFS(#REF!,#REF!,B71,#REF!,C71,#REF!,D71)</f>
        <v>#REF!</v>
      </c>
      <c r="K71" s="7" t="e">
        <f t="shared" si="3"/>
        <v>#REF!</v>
      </c>
    </row>
    <row r="72" spans="1:11" ht="24" customHeight="1">
      <c r="A72" s="1" t="s">
        <v>9</v>
      </c>
      <c r="B72" s="1" t="s">
        <v>72</v>
      </c>
      <c r="C72" s="1" t="s">
        <v>73</v>
      </c>
      <c r="D72" s="1" t="s">
        <v>78</v>
      </c>
      <c r="E72" s="1" t="e">
        <f>COUNTIFS(#REF!,B72,#REF!,C72,#REF!,D72,#REF!,"F2")</f>
        <v>#REF!</v>
      </c>
      <c r="F72" s="1" t="e">
        <f>COUNTIFS(#REF!,B72,#REF!,C72,#REF!,D72,#REF!,"F4")</f>
        <v>#REF!</v>
      </c>
      <c r="G72" s="1" t="e">
        <f t="shared" si="2"/>
        <v>#REF!</v>
      </c>
      <c r="H72" s="1" t="e">
        <f>COUNTIFS(#REF!,B72,#REF!,C72,#REF!,D72,#REF!,"Trước RS")</f>
        <v>#REF!</v>
      </c>
      <c r="I72" s="1" t="e">
        <f>COUNTIFS(#REF!,B72,#REF!,C72,#REF!,D72,#REF!,"Sau RS")</f>
        <v>#REF!</v>
      </c>
      <c r="J72" s="6" t="e">
        <f>SUMIFS(#REF!,#REF!,B72,#REF!,C72,#REF!,D72)</f>
        <v>#REF!</v>
      </c>
      <c r="K72" s="7" t="e">
        <f t="shared" si="3"/>
        <v>#REF!</v>
      </c>
    </row>
    <row r="73" spans="1:11" ht="24" customHeight="1">
      <c r="A73" s="1" t="s">
        <v>9</v>
      </c>
      <c r="B73" s="1" t="s">
        <v>72</v>
      </c>
      <c r="C73" s="1" t="s">
        <v>73</v>
      </c>
      <c r="D73" s="1" t="s">
        <v>79</v>
      </c>
      <c r="E73" s="1" t="e">
        <f>COUNTIFS(#REF!,B73,#REF!,C73,#REF!,D73,#REF!,"F2")</f>
        <v>#REF!</v>
      </c>
      <c r="F73" s="1" t="e">
        <f>COUNTIFS(#REF!,B73,#REF!,C73,#REF!,D73,#REF!,"F4")</f>
        <v>#REF!</v>
      </c>
      <c r="G73" s="1" t="e">
        <f t="shared" si="2"/>
        <v>#REF!</v>
      </c>
      <c r="H73" s="1" t="e">
        <f>COUNTIFS(#REF!,B73,#REF!,C73,#REF!,D73,#REF!,"Trước RS")</f>
        <v>#REF!</v>
      </c>
      <c r="I73" s="1" t="e">
        <f>COUNTIFS(#REF!,B73,#REF!,C73,#REF!,D73,#REF!,"Sau RS")</f>
        <v>#REF!</v>
      </c>
      <c r="J73" s="6" t="e">
        <f>SUMIFS(#REF!,#REF!,B73,#REF!,C73,#REF!,D73)</f>
        <v>#REF!</v>
      </c>
      <c r="K73" s="7" t="e">
        <f t="shared" si="3"/>
        <v>#REF!</v>
      </c>
    </row>
    <row r="74" spans="1:11" ht="24" customHeight="1">
      <c r="A74" s="2" t="s">
        <v>7</v>
      </c>
      <c r="B74" s="2" t="s">
        <v>80</v>
      </c>
      <c r="C74" s="2"/>
      <c r="D74" s="2"/>
      <c r="E74" s="2" t="e">
        <f>COUNTIFS(#REF!,B74,#REF!,"F2")</f>
        <v>#REF!</v>
      </c>
      <c r="F74" s="2" t="e">
        <f>COUNTIFS(#REF!,B74,#REF!,"F4")</f>
        <v>#REF!</v>
      </c>
      <c r="G74" s="2" t="e">
        <f t="shared" si="2"/>
        <v>#REF!</v>
      </c>
      <c r="H74" s="2" t="e">
        <f>COUNTIFS(#REF!,B74,#REF!,"Trước RS")</f>
        <v>#REF!</v>
      </c>
      <c r="I74" s="2" t="e">
        <f>COUNTIFS(#REF!,B74,#REF!,"Sau RS")</f>
        <v>#REF!</v>
      </c>
      <c r="J74" s="8" t="e">
        <f>SUMIFS(#REF!,#REF!,B74)</f>
        <v>#REF!</v>
      </c>
      <c r="K74" s="10" t="e">
        <f t="shared" si="3"/>
        <v>#REF!</v>
      </c>
    </row>
    <row r="75" spans="1:11" ht="24" customHeight="1">
      <c r="A75" s="3" t="s">
        <v>8</v>
      </c>
      <c r="B75" s="3" t="s">
        <v>80</v>
      </c>
      <c r="C75" s="3" t="s">
        <v>81</v>
      </c>
      <c r="D75" s="3"/>
      <c r="E75" s="3" t="e">
        <f>COUNTIFS(#REF!,B75,#REF!,C75,#REF!,"F2")</f>
        <v>#REF!</v>
      </c>
      <c r="F75" s="3" t="e">
        <f>COUNTIFS(#REF!,B75,#REF!,C75,#REF!,"F4")</f>
        <v>#REF!</v>
      </c>
      <c r="G75" s="3" t="e">
        <f t="shared" ref="G75:G96" si="4">E75+F75</f>
        <v>#REF!</v>
      </c>
      <c r="H75" s="3" t="e">
        <f>COUNTIFS(#REF!,B75,#REF!,C75,#REF!,"Trước RS")</f>
        <v>#REF!</v>
      </c>
      <c r="I75" s="3" t="e">
        <f>COUNTIFS(#REF!,B75,#REF!,C75,#REF!,"Sau RS")</f>
        <v>#REF!</v>
      </c>
      <c r="J75" s="9" t="e">
        <f>SUMIFS(#REF!,#REF!,B75,#REF!,C75)</f>
        <v>#REF!</v>
      </c>
      <c r="K75" s="11" t="e">
        <f t="shared" ref="K75:K96" si="5">J75/$B$7</f>
        <v>#REF!</v>
      </c>
    </row>
    <row r="76" spans="1:11" ht="24" customHeight="1">
      <c r="A76" s="1" t="s">
        <v>9</v>
      </c>
      <c r="B76" s="1" t="s">
        <v>80</v>
      </c>
      <c r="C76" s="1" t="s">
        <v>81</v>
      </c>
      <c r="D76" s="1" t="s">
        <v>82</v>
      </c>
      <c r="E76" s="1" t="e">
        <f>COUNTIFS(#REF!,B76,#REF!,C76,#REF!,D76,#REF!,"F2")</f>
        <v>#REF!</v>
      </c>
      <c r="F76" s="1" t="e">
        <f>COUNTIFS(#REF!,B76,#REF!,C76,#REF!,D76,#REF!,"F4")</f>
        <v>#REF!</v>
      </c>
      <c r="G76" s="1" t="e">
        <f t="shared" si="4"/>
        <v>#REF!</v>
      </c>
      <c r="H76" s="1" t="e">
        <f>COUNTIFS(#REF!,B76,#REF!,C76,#REF!,D76,#REF!,"Trước RS")</f>
        <v>#REF!</v>
      </c>
      <c r="I76" s="1" t="e">
        <f>COUNTIFS(#REF!,B76,#REF!,C76,#REF!,D76,#REF!,"Sau RS")</f>
        <v>#REF!</v>
      </c>
      <c r="J76" s="6" t="e">
        <f>SUMIFS(#REF!,#REF!,B76,#REF!,C76,#REF!,D76)</f>
        <v>#REF!</v>
      </c>
      <c r="K76" s="7" t="e">
        <f t="shared" si="5"/>
        <v>#REF!</v>
      </c>
    </row>
    <row r="77" spans="1:11" ht="24" customHeight="1">
      <c r="A77" s="1" t="s">
        <v>9</v>
      </c>
      <c r="B77" s="1" t="s">
        <v>80</v>
      </c>
      <c r="C77" s="1" t="s">
        <v>81</v>
      </c>
      <c r="D77" s="1" t="s">
        <v>83</v>
      </c>
      <c r="E77" s="1" t="e">
        <f>COUNTIFS(#REF!,B77,#REF!,C77,#REF!,D77,#REF!,"F2")</f>
        <v>#REF!</v>
      </c>
      <c r="F77" s="1" t="e">
        <f>COUNTIFS(#REF!,B77,#REF!,C77,#REF!,D77,#REF!,"F4")</f>
        <v>#REF!</v>
      </c>
      <c r="G77" s="1" t="e">
        <f t="shared" si="4"/>
        <v>#REF!</v>
      </c>
      <c r="H77" s="1" t="e">
        <f>COUNTIFS(#REF!,B77,#REF!,C77,#REF!,D77,#REF!,"Trước RS")</f>
        <v>#REF!</v>
      </c>
      <c r="I77" s="1" t="e">
        <f>COUNTIFS(#REF!,B77,#REF!,C77,#REF!,D77,#REF!,"Sau RS")</f>
        <v>#REF!</v>
      </c>
      <c r="J77" s="6" t="e">
        <f>SUMIFS(#REF!,#REF!,B77,#REF!,C77,#REF!,D77)</f>
        <v>#REF!</v>
      </c>
      <c r="K77" s="7" t="e">
        <f t="shared" si="5"/>
        <v>#REF!</v>
      </c>
    </row>
    <row r="78" spans="1:11" ht="24" customHeight="1">
      <c r="A78" s="1" t="s">
        <v>9</v>
      </c>
      <c r="B78" s="1" t="s">
        <v>80</v>
      </c>
      <c r="C78" s="1" t="s">
        <v>81</v>
      </c>
      <c r="D78" s="1" t="s">
        <v>84</v>
      </c>
      <c r="E78" s="1" t="e">
        <f>COUNTIFS(#REF!,B78,#REF!,C78,#REF!,D78,#REF!,"F2")</f>
        <v>#REF!</v>
      </c>
      <c r="F78" s="1" t="e">
        <f>COUNTIFS(#REF!,B78,#REF!,C78,#REF!,D78,#REF!,"F4")</f>
        <v>#REF!</v>
      </c>
      <c r="G78" s="1" t="e">
        <f t="shared" si="4"/>
        <v>#REF!</v>
      </c>
      <c r="H78" s="1" t="e">
        <f>COUNTIFS(#REF!,B78,#REF!,C78,#REF!,D78,#REF!,"Trước RS")</f>
        <v>#REF!</v>
      </c>
      <c r="I78" s="1" t="e">
        <f>COUNTIFS(#REF!,B78,#REF!,C78,#REF!,D78,#REF!,"Sau RS")</f>
        <v>#REF!</v>
      </c>
      <c r="J78" s="6" t="e">
        <f>SUMIFS(#REF!,#REF!,B78,#REF!,C78,#REF!,D78)</f>
        <v>#REF!</v>
      </c>
      <c r="K78" s="7" t="e">
        <f t="shared" si="5"/>
        <v>#REF!</v>
      </c>
    </row>
    <row r="79" spans="1:11" ht="24" customHeight="1">
      <c r="A79" s="2" t="s">
        <v>7</v>
      </c>
      <c r="B79" s="2" t="s">
        <v>85</v>
      </c>
      <c r="C79" s="2"/>
      <c r="D79" s="2"/>
      <c r="E79" s="2" t="e">
        <f>COUNTIFS(#REF!,B79,#REF!,"F2")</f>
        <v>#REF!</v>
      </c>
      <c r="F79" s="2" t="e">
        <f>COUNTIFS(#REF!,B79,#REF!,"F4")</f>
        <v>#REF!</v>
      </c>
      <c r="G79" s="2" t="e">
        <f t="shared" si="4"/>
        <v>#REF!</v>
      </c>
      <c r="H79" s="2" t="e">
        <f>COUNTIFS(#REF!,B79,#REF!,"Trước RS")</f>
        <v>#REF!</v>
      </c>
      <c r="I79" s="2" t="e">
        <f>COUNTIFS(#REF!,B79,#REF!,"Sau RS")</f>
        <v>#REF!</v>
      </c>
      <c r="J79" s="8" t="e">
        <f>SUMIFS(#REF!,#REF!,B79)</f>
        <v>#REF!</v>
      </c>
      <c r="K79" s="10" t="e">
        <f t="shared" si="5"/>
        <v>#REF!</v>
      </c>
    </row>
    <row r="80" spans="1:11" ht="24" customHeight="1">
      <c r="A80" s="3" t="s">
        <v>8</v>
      </c>
      <c r="B80" s="3" t="s">
        <v>85</v>
      </c>
      <c r="C80" s="3" t="s">
        <v>86</v>
      </c>
      <c r="D80" s="3"/>
      <c r="E80" s="3" t="e">
        <f>COUNTIFS(#REF!,B80,#REF!,C80,#REF!,"F2")</f>
        <v>#REF!</v>
      </c>
      <c r="F80" s="3" t="e">
        <f>COUNTIFS(#REF!,B80,#REF!,C80,#REF!,"F4")</f>
        <v>#REF!</v>
      </c>
      <c r="G80" s="3" t="e">
        <f t="shared" si="4"/>
        <v>#REF!</v>
      </c>
      <c r="H80" s="3" t="e">
        <f>COUNTIFS(#REF!,B80,#REF!,C80,#REF!,"Trước RS")</f>
        <v>#REF!</v>
      </c>
      <c r="I80" s="3" t="e">
        <f>COUNTIFS(#REF!,B80,#REF!,C80,#REF!,"Sau RS")</f>
        <v>#REF!</v>
      </c>
      <c r="J80" s="9" t="e">
        <f>SUMIFS(#REF!,#REF!,B80,#REF!,C80)</f>
        <v>#REF!</v>
      </c>
      <c r="K80" s="11" t="e">
        <f t="shared" si="5"/>
        <v>#REF!</v>
      </c>
    </row>
    <row r="81" spans="1:11" ht="24" customHeight="1">
      <c r="A81" s="1" t="s">
        <v>9</v>
      </c>
      <c r="B81" s="1" t="s">
        <v>85</v>
      </c>
      <c r="C81" s="1" t="s">
        <v>86</v>
      </c>
      <c r="D81" s="1" t="s">
        <v>87</v>
      </c>
      <c r="E81" s="1" t="e">
        <f>COUNTIFS(#REF!,B81,#REF!,C81,#REF!,D81,#REF!,"F2")</f>
        <v>#REF!</v>
      </c>
      <c r="F81" s="1" t="e">
        <f>COUNTIFS(#REF!,B81,#REF!,C81,#REF!,D81,#REF!,"F4")</f>
        <v>#REF!</v>
      </c>
      <c r="G81" s="1" t="e">
        <f t="shared" si="4"/>
        <v>#REF!</v>
      </c>
      <c r="H81" s="1" t="e">
        <f>COUNTIFS(#REF!,B81,#REF!,C81,#REF!,D81,#REF!,"Trước RS")</f>
        <v>#REF!</v>
      </c>
      <c r="I81" s="1" t="e">
        <f>COUNTIFS(#REF!,B81,#REF!,C81,#REF!,D81,#REF!,"Sau RS")</f>
        <v>#REF!</v>
      </c>
      <c r="J81" s="6" t="e">
        <f>SUMIFS(#REF!,#REF!,B81,#REF!,C81,#REF!,D81)</f>
        <v>#REF!</v>
      </c>
      <c r="K81" s="7" t="e">
        <f t="shared" si="5"/>
        <v>#REF!</v>
      </c>
    </row>
    <row r="82" spans="1:11" ht="24" customHeight="1">
      <c r="A82" s="1" t="s">
        <v>9</v>
      </c>
      <c r="B82" s="1" t="s">
        <v>85</v>
      </c>
      <c r="C82" s="1" t="s">
        <v>86</v>
      </c>
      <c r="D82" s="1" t="s">
        <v>88</v>
      </c>
      <c r="E82" s="1" t="e">
        <f>COUNTIFS(#REF!,B82,#REF!,C82,#REF!,D82,#REF!,"F2")</f>
        <v>#REF!</v>
      </c>
      <c r="F82" s="1" t="e">
        <f>COUNTIFS(#REF!,B82,#REF!,C82,#REF!,D82,#REF!,"F4")</f>
        <v>#REF!</v>
      </c>
      <c r="G82" s="1" t="e">
        <f t="shared" si="4"/>
        <v>#REF!</v>
      </c>
      <c r="H82" s="1" t="e">
        <f>COUNTIFS(#REF!,B82,#REF!,C82,#REF!,D82,#REF!,"Trước RS")</f>
        <v>#REF!</v>
      </c>
      <c r="I82" s="1" t="e">
        <f>COUNTIFS(#REF!,B82,#REF!,C82,#REF!,D82,#REF!,"Sau RS")</f>
        <v>#REF!</v>
      </c>
      <c r="J82" s="6" t="e">
        <f>SUMIFS(#REF!,#REF!,B82,#REF!,C82,#REF!,D82)</f>
        <v>#REF!</v>
      </c>
      <c r="K82" s="7" t="e">
        <f t="shared" si="5"/>
        <v>#REF!</v>
      </c>
    </row>
    <row r="83" spans="1:11" ht="24" customHeight="1">
      <c r="A83" s="1" t="s">
        <v>9</v>
      </c>
      <c r="B83" s="1" t="s">
        <v>85</v>
      </c>
      <c r="C83" s="1" t="s">
        <v>86</v>
      </c>
      <c r="D83" s="1" t="s">
        <v>89</v>
      </c>
      <c r="E83" s="1" t="e">
        <f>COUNTIFS(#REF!,B83,#REF!,C83,#REF!,D83,#REF!,"F2")</f>
        <v>#REF!</v>
      </c>
      <c r="F83" s="1" t="e">
        <f>COUNTIFS(#REF!,B83,#REF!,C83,#REF!,D83,#REF!,"F4")</f>
        <v>#REF!</v>
      </c>
      <c r="G83" s="1" t="e">
        <f t="shared" si="4"/>
        <v>#REF!</v>
      </c>
      <c r="H83" s="1" t="e">
        <f>COUNTIFS(#REF!,B83,#REF!,C83,#REF!,D83,#REF!,"Trước RS")</f>
        <v>#REF!</v>
      </c>
      <c r="I83" s="1" t="e">
        <f>COUNTIFS(#REF!,B83,#REF!,C83,#REF!,D83,#REF!,"Sau RS")</f>
        <v>#REF!</v>
      </c>
      <c r="J83" s="6" t="e">
        <f>SUMIFS(#REF!,#REF!,B83,#REF!,C83,#REF!,D83)</f>
        <v>#REF!</v>
      </c>
      <c r="K83" s="7" t="e">
        <f t="shared" si="5"/>
        <v>#REF!</v>
      </c>
    </row>
    <row r="84" spans="1:11" ht="24" customHeight="1">
      <c r="A84" s="1" t="s">
        <v>9</v>
      </c>
      <c r="B84" s="1" t="s">
        <v>85</v>
      </c>
      <c r="C84" s="1" t="s">
        <v>86</v>
      </c>
      <c r="D84" s="1" t="s">
        <v>90</v>
      </c>
      <c r="E84" s="1" t="e">
        <f>COUNTIFS(#REF!,B84,#REF!,C84,#REF!,D84,#REF!,"F2")</f>
        <v>#REF!</v>
      </c>
      <c r="F84" s="1" t="e">
        <f>COUNTIFS(#REF!,B84,#REF!,C84,#REF!,D84,#REF!,"F4")</f>
        <v>#REF!</v>
      </c>
      <c r="G84" s="1" t="e">
        <f t="shared" si="4"/>
        <v>#REF!</v>
      </c>
      <c r="H84" s="1" t="e">
        <f>COUNTIFS(#REF!,B84,#REF!,C84,#REF!,D84,#REF!,"Trước RS")</f>
        <v>#REF!</v>
      </c>
      <c r="I84" s="1" t="e">
        <f>COUNTIFS(#REF!,B84,#REF!,C84,#REF!,D84,#REF!,"Sau RS")</f>
        <v>#REF!</v>
      </c>
      <c r="J84" s="6" t="e">
        <f>SUMIFS(#REF!,#REF!,B84,#REF!,C84,#REF!,D84)</f>
        <v>#REF!</v>
      </c>
      <c r="K84" s="7" t="e">
        <f t="shared" si="5"/>
        <v>#REF!</v>
      </c>
    </row>
    <row r="85" spans="1:11" ht="24" customHeight="1">
      <c r="A85" s="1" t="s">
        <v>9</v>
      </c>
      <c r="B85" s="1" t="s">
        <v>85</v>
      </c>
      <c r="C85" s="1" t="s">
        <v>86</v>
      </c>
      <c r="D85" s="1" t="s">
        <v>91</v>
      </c>
      <c r="E85" s="1" t="e">
        <f>COUNTIFS(#REF!,B85,#REF!,C85,#REF!,D85,#REF!,"F2")</f>
        <v>#REF!</v>
      </c>
      <c r="F85" s="1" t="e">
        <f>COUNTIFS(#REF!,B85,#REF!,C85,#REF!,D85,#REF!,"F4")</f>
        <v>#REF!</v>
      </c>
      <c r="G85" s="1" t="e">
        <f t="shared" si="4"/>
        <v>#REF!</v>
      </c>
      <c r="H85" s="1" t="e">
        <f>COUNTIFS(#REF!,B85,#REF!,C85,#REF!,D85,#REF!,"Trước RS")</f>
        <v>#REF!</v>
      </c>
      <c r="I85" s="1" t="e">
        <f>COUNTIFS(#REF!,B85,#REF!,C85,#REF!,D85,#REF!,"Sau RS")</f>
        <v>#REF!</v>
      </c>
      <c r="J85" s="6" t="e">
        <f>SUMIFS(#REF!,#REF!,B85,#REF!,C85,#REF!,D85)</f>
        <v>#REF!</v>
      </c>
      <c r="K85" s="7" t="e">
        <f t="shared" si="5"/>
        <v>#REF!</v>
      </c>
    </row>
    <row r="86" spans="1:11" ht="24" customHeight="1">
      <c r="A86" s="3" t="s">
        <v>8</v>
      </c>
      <c r="B86" s="3" t="s">
        <v>85</v>
      </c>
      <c r="C86" s="3" t="s">
        <v>92</v>
      </c>
      <c r="D86" s="3"/>
      <c r="E86" s="3" t="e">
        <f>COUNTIFS(#REF!,B86,#REF!,C86,#REF!,"F2")</f>
        <v>#REF!</v>
      </c>
      <c r="F86" s="3" t="e">
        <f>COUNTIFS(#REF!,B86,#REF!,C86,#REF!,"F4")</f>
        <v>#REF!</v>
      </c>
      <c r="G86" s="3" t="e">
        <f t="shared" si="4"/>
        <v>#REF!</v>
      </c>
      <c r="H86" s="3" t="e">
        <f>COUNTIFS(#REF!,B86,#REF!,C86,#REF!,"Trước RS")</f>
        <v>#REF!</v>
      </c>
      <c r="I86" s="3" t="e">
        <f>COUNTIFS(#REF!,B86,#REF!,C86,#REF!,"Sau RS")</f>
        <v>#REF!</v>
      </c>
      <c r="J86" s="9" t="e">
        <f>SUMIFS(#REF!,#REF!,B86,#REF!,C86)</f>
        <v>#REF!</v>
      </c>
      <c r="K86" s="11" t="e">
        <f t="shared" si="5"/>
        <v>#REF!</v>
      </c>
    </row>
    <row r="87" spans="1:11" ht="24" customHeight="1">
      <c r="A87" s="1" t="s">
        <v>9</v>
      </c>
      <c r="B87" s="1" t="s">
        <v>85</v>
      </c>
      <c r="C87" s="1" t="s">
        <v>92</v>
      </c>
      <c r="D87" s="1" t="s">
        <v>93</v>
      </c>
      <c r="E87" s="1" t="e">
        <f>COUNTIFS(#REF!,B87,#REF!,C87,#REF!,D87,#REF!,"F2")</f>
        <v>#REF!</v>
      </c>
      <c r="F87" s="1" t="e">
        <f>COUNTIFS(#REF!,B87,#REF!,C87,#REF!,D87,#REF!,"F4")</f>
        <v>#REF!</v>
      </c>
      <c r="G87" s="1" t="e">
        <f t="shared" si="4"/>
        <v>#REF!</v>
      </c>
      <c r="H87" s="1" t="e">
        <f>COUNTIFS(#REF!,B87,#REF!,C87,#REF!,D87,#REF!,"Trước RS")</f>
        <v>#REF!</v>
      </c>
      <c r="I87" s="1" t="e">
        <f>COUNTIFS(#REF!,B87,#REF!,C87,#REF!,D87,#REF!,"Sau RS")</f>
        <v>#REF!</v>
      </c>
      <c r="J87" s="6" t="e">
        <f>SUMIFS(#REF!,#REF!,B87,#REF!,C87,#REF!,D87)</f>
        <v>#REF!</v>
      </c>
      <c r="K87" s="7" t="e">
        <f t="shared" si="5"/>
        <v>#REF!</v>
      </c>
    </row>
    <row r="88" spans="1:11" ht="24" customHeight="1">
      <c r="A88" s="1" t="s">
        <v>9</v>
      </c>
      <c r="B88" s="1" t="s">
        <v>85</v>
      </c>
      <c r="C88" s="1" t="s">
        <v>92</v>
      </c>
      <c r="D88" s="1" t="s">
        <v>94</v>
      </c>
      <c r="E88" s="1" t="e">
        <f>COUNTIFS(#REF!,B88,#REF!,C88,#REF!,D88,#REF!,"F2")</f>
        <v>#REF!</v>
      </c>
      <c r="F88" s="1" t="e">
        <f>COUNTIFS(#REF!,B88,#REF!,C88,#REF!,D88,#REF!,"F4")</f>
        <v>#REF!</v>
      </c>
      <c r="G88" s="1" t="e">
        <f t="shared" si="4"/>
        <v>#REF!</v>
      </c>
      <c r="H88" s="1" t="e">
        <f>COUNTIFS(#REF!,B88,#REF!,C88,#REF!,D88,#REF!,"Trước RS")</f>
        <v>#REF!</v>
      </c>
      <c r="I88" s="1" t="e">
        <f>COUNTIFS(#REF!,B88,#REF!,C88,#REF!,D88,#REF!,"Sau RS")</f>
        <v>#REF!</v>
      </c>
      <c r="J88" s="6" t="e">
        <f>SUMIFS(#REF!,#REF!,B88,#REF!,C88,#REF!,D88)</f>
        <v>#REF!</v>
      </c>
      <c r="K88" s="7" t="e">
        <f t="shared" si="5"/>
        <v>#REF!</v>
      </c>
    </row>
    <row r="89" spans="1:11" ht="24" customHeight="1">
      <c r="A89" s="1" t="s">
        <v>9</v>
      </c>
      <c r="B89" s="1" t="s">
        <v>85</v>
      </c>
      <c r="C89" s="1" t="s">
        <v>92</v>
      </c>
      <c r="D89" s="1" t="s">
        <v>95</v>
      </c>
      <c r="E89" s="1" t="e">
        <f>COUNTIFS(#REF!,B89,#REF!,C89,#REF!,D89,#REF!,"F2")</f>
        <v>#REF!</v>
      </c>
      <c r="F89" s="1" t="e">
        <f>COUNTIFS(#REF!,B89,#REF!,C89,#REF!,D89,#REF!,"F4")</f>
        <v>#REF!</v>
      </c>
      <c r="G89" s="1" t="e">
        <f t="shared" si="4"/>
        <v>#REF!</v>
      </c>
      <c r="H89" s="1" t="e">
        <f>COUNTIFS(#REF!,B89,#REF!,C89,#REF!,D89,#REF!,"Trước RS")</f>
        <v>#REF!</v>
      </c>
      <c r="I89" s="1" t="e">
        <f>COUNTIFS(#REF!,B89,#REF!,C89,#REF!,D89,#REF!,"Sau RS")</f>
        <v>#REF!</v>
      </c>
      <c r="J89" s="6" t="e">
        <f>SUMIFS(#REF!,#REF!,B89,#REF!,C89,#REF!,D89)</f>
        <v>#REF!</v>
      </c>
      <c r="K89" s="7" t="e">
        <f t="shared" si="5"/>
        <v>#REF!</v>
      </c>
    </row>
    <row r="90" spans="1:11" ht="24" customHeight="1">
      <c r="A90" s="1" t="s">
        <v>9</v>
      </c>
      <c r="B90" s="1" t="s">
        <v>85</v>
      </c>
      <c r="C90" s="1" t="s">
        <v>92</v>
      </c>
      <c r="D90" s="1" t="s">
        <v>96</v>
      </c>
      <c r="E90" s="1" t="e">
        <f>COUNTIFS(#REF!,B90,#REF!,C90,#REF!,D90,#REF!,"F2")</f>
        <v>#REF!</v>
      </c>
      <c r="F90" s="1" t="e">
        <f>COUNTIFS(#REF!,B90,#REF!,C90,#REF!,D90,#REF!,"F4")</f>
        <v>#REF!</v>
      </c>
      <c r="G90" s="1" t="e">
        <f t="shared" si="4"/>
        <v>#REF!</v>
      </c>
      <c r="H90" s="1" t="e">
        <f>COUNTIFS(#REF!,B90,#REF!,C90,#REF!,D90,#REF!,"Trước RS")</f>
        <v>#REF!</v>
      </c>
      <c r="I90" s="1" t="e">
        <f>COUNTIFS(#REF!,B90,#REF!,C90,#REF!,D90,#REF!,"Sau RS")</f>
        <v>#REF!</v>
      </c>
      <c r="J90" s="6" t="e">
        <f>SUMIFS(#REF!,#REF!,B90,#REF!,C90,#REF!,D90)</f>
        <v>#REF!</v>
      </c>
      <c r="K90" s="7" t="e">
        <f t="shared" si="5"/>
        <v>#REF!</v>
      </c>
    </row>
    <row r="91" spans="1:11" ht="24" customHeight="1">
      <c r="A91" s="1" t="s">
        <v>9</v>
      </c>
      <c r="B91" s="1" t="s">
        <v>85</v>
      </c>
      <c r="C91" s="1" t="s">
        <v>92</v>
      </c>
      <c r="D91" s="1" t="s">
        <v>97</v>
      </c>
      <c r="E91" s="1" t="e">
        <f>COUNTIFS(#REF!,B91,#REF!,C91,#REF!,D91,#REF!,"F2")</f>
        <v>#REF!</v>
      </c>
      <c r="F91" s="1" t="e">
        <f>COUNTIFS(#REF!,B91,#REF!,C91,#REF!,D91,#REF!,"F4")</f>
        <v>#REF!</v>
      </c>
      <c r="G91" s="1" t="e">
        <f t="shared" si="4"/>
        <v>#REF!</v>
      </c>
      <c r="H91" s="1" t="e">
        <f>COUNTIFS(#REF!,B91,#REF!,C91,#REF!,D91,#REF!,"Trước RS")</f>
        <v>#REF!</v>
      </c>
      <c r="I91" s="1" t="e">
        <f>COUNTIFS(#REF!,B91,#REF!,C91,#REF!,D91,#REF!,"Sau RS")</f>
        <v>#REF!</v>
      </c>
      <c r="J91" s="6" t="e">
        <f>SUMIFS(#REF!,#REF!,B91,#REF!,C91,#REF!,D91)</f>
        <v>#REF!</v>
      </c>
      <c r="K91" s="7" t="e">
        <f t="shared" si="5"/>
        <v>#REF!</v>
      </c>
    </row>
    <row r="92" spans="1:11" ht="24" customHeight="1">
      <c r="A92" s="1" t="s">
        <v>9</v>
      </c>
      <c r="B92" s="1" t="s">
        <v>85</v>
      </c>
      <c r="C92" s="1" t="s">
        <v>92</v>
      </c>
      <c r="D92" s="1" t="s">
        <v>98</v>
      </c>
      <c r="E92" s="1" t="e">
        <f>COUNTIFS(#REF!,B92,#REF!,C92,#REF!,D92,#REF!,"F2")</f>
        <v>#REF!</v>
      </c>
      <c r="F92" s="1" t="e">
        <f>COUNTIFS(#REF!,B92,#REF!,C92,#REF!,D92,#REF!,"F4")</f>
        <v>#REF!</v>
      </c>
      <c r="G92" s="1" t="e">
        <f t="shared" si="4"/>
        <v>#REF!</v>
      </c>
      <c r="H92" s="1" t="e">
        <f>COUNTIFS(#REF!,B92,#REF!,C92,#REF!,D92,#REF!,"Trước RS")</f>
        <v>#REF!</v>
      </c>
      <c r="I92" s="1" t="e">
        <f>COUNTIFS(#REF!,B92,#REF!,C92,#REF!,D92,#REF!,"Sau RS")</f>
        <v>#REF!</v>
      </c>
      <c r="J92" s="6" t="e">
        <f>SUMIFS(#REF!,#REF!,B92,#REF!,C92,#REF!,D92)</f>
        <v>#REF!</v>
      </c>
      <c r="K92" s="7" t="e">
        <f t="shared" si="5"/>
        <v>#REF!</v>
      </c>
    </row>
    <row r="93" spans="1:11" ht="24" customHeight="1">
      <c r="A93" s="1" t="s">
        <v>9</v>
      </c>
      <c r="B93" s="1" t="s">
        <v>85</v>
      </c>
      <c r="C93" s="1" t="s">
        <v>92</v>
      </c>
      <c r="D93" s="1" t="s">
        <v>99</v>
      </c>
      <c r="E93" s="1" t="e">
        <f>COUNTIFS(#REF!,B93,#REF!,C93,#REF!,D93,#REF!,"F2")</f>
        <v>#REF!</v>
      </c>
      <c r="F93" s="1" t="e">
        <f>COUNTIFS(#REF!,B93,#REF!,C93,#REF!,D93,#REF!,"F4")</f>
        <v>#REF!</v>
      </c>
      <c r="G93" s="1" t="e">
        <f t="shared" si="4"/>
        <v>#REF!</v>
      </c>
      <c r="H93" s="1" t="e">
        <f>COUNTIFS(#REF!,B93,#REF!,C93,#REF!,D93,#REF!,"Trước RS")</f>
        <v>#REF!</v>
      </c>
      <c r="I93" s="1" t="e">
        <f>COUNTIFS(#REF!,B93,#REF!,C93,#REF!,D93,#REF!,"Sau RS")</f>
        <v>#REF!</v>
      </c>
      <c r="J93" s="6" t="e">
        <f>SUMIFS(#REF!,#REF!,B93,#REF!,C93,#REF!,D93)</f>
        <v>#REF!</v>
      </c>
      <c r="K93" s="7" t="e">
        <f t="shared" si="5"/>
        <v>#REF!</v>
      </c>
    </row>
    <row r="94" spans="1:11" ht="24" customHeight="1">
      <c r="A94" s="1" t="s">
        <v>9</v>
      </c>
      <c r="B94" s="1" t="s">
        <v>85</v>
      </c>
      <c r="C94" s="1" t="s">
        <v>92</v>
      </c>
      <c r="D94" s="1" t="s">
        <v>100</v>
      </c>
      <c r="E94" s="1" t="e">
        <f>COUNTIFS(#REF!,B94,#REF!,C94,#REF!,D94,#REF!,"F2")</f>
        <v>#REF!</v>
      </c>
      <c r="F94" s="1" t="e">
        <f>COUNTIFS(#REF!,B94,#REF!,C94,#REF!,D94,#REF!,"F4")</f>
        <v>#REF!</v>
      </c>
      <c r="G94" s="1" t="e">
        <f t="shared" si="4"/>
        <v>#REF!</v>
      </c>
      <c r="H94" s="1" t="e">
        <f>COUNTIFS(#REF!,B94,#REF!,C94,#REF!,D94,#REF!,"Trước RS")</f>
        <v>#REF!</v>
      </c>
      <c r="I94" s="1" t="e">
        <f>COUNTIFS(#REF!,B94,#REF!,C94,#REF!,D94,#REF!,"Sau RS")</f>
        <v>#REF!</v>
      </c>
      <c r="J94" s="6" t="e">
        <f>SUMIFS(#REF!,#REF!,B94,#REF!,C94,#REF!,D94)</f>
        <v>#REF!</v>
      </c>
      <c r="K94" s="7" t="e">
        <f t="shared" si="5"/>
        <v>#REF!</v>
      </c>
    </row>
    <row r="95" spans="1:11" ht="24" customHeight="1">
      <c r="A95" s="1" t="s">
        <v>9</v>
      </c>
      <c r="B95" s="1" t="s">
        <v>85</v>
      </c>
      <c r="C95" s="1" t="s">
        <v>92</v>
      </c>
      <c r="D95" s="1" t="s">
        <v>101</v>
      </c>
      <c r="E95" s="1" t="e">
        <f>COUNTIFS(#REF!,B95,#REF!,C95,#REF!,D95,#REF!,"F2")</f>
        <v>#REF!</v>
      </c>
      <c r="F95" s="1" t="e">
        <f>COUNTIFS(#REF!,B95,#REF!,C95,#REF!,D95,#REF!,"F4")</f>
        <v>#REF!</v>
      </c>
      <c r="G95" s="1" t="e">
        <f t="shared" si="4"/>
        <v>#REF!</v>
      </c>
      <c r="H95" s="1" t="e">
        <f>COUNTIFS(#REF!,B95,#REF!,C95,#REF!,D95,#REF!,"Trước RS")</f>
        <v>#REF!</v>
      </c>
      <c r="I95" s="1" t="e">
        <f>COUNTIFS(#REF!,B95,#REF!,C95,#REF!,D95,#REF!,"Sau RS")</f>
        <v>#REF!</v>
      </c>
      <c r="J95" s="6" t="e">
        <f>SUMIFS(#REF!,#REF!,B95,#REF!,C95,#REF!,D95)</f>
        <v>#REF!</v>
      </c>
      <c r="K95" s="7" t="e">
        <f t="shared" si="5"/>
        <v>#REF!</v>
      </c>
    </row>
    <row r="96" spans="1:11" ht="24" customHeight="1">
      <c r="A96" s="1" t="s">
        <v>9</v>
      </c>
      <c r="B96" s="1" t="s">
        <v>85</v>
      </c>
      <c r="C96" s="1" t="s">
        <v>92</v>
      </c>
      <c r="D96" s="1" t="s">
        <v>102</v>
      </c>
      <c r="E96" s="1" t="e">
        <f>COUNTIFS(#REF!,B96,#REF!,C96,#REF!,D96,#REF!,"F2")</f>
        <v>#REF!</v>
      </c>
      <c r="F96" s="1" t="e">
        <f>COUNTIFS(#REF!,B96,#REF!,C96,#REF!,D96,#REF!,"F4")</f>
        <v>#REF!</v>
      </c>
      <c r="G96" s="1" t="e">
        <f t="shared" si="4"/>
        <v>#REF!</v>
      </c>
      <c r="H96" s="1" t="e">
        <f>COUNTIFS(#REF!,B96,#REF!,C96,#REF!,D96,#REF!,"Trước RS")</f>
        <v>#REF!</v>
      </c>
      <c r="I96" s="1" t="e">
        <f>COUNTIFS(#REF!,B96,#REF!,C96,#REF!,D96,#REF!,"Sau RS")</f>
        <v>#REF!</v>
      </c>
      <c r="J96" s="6" t="e">
        <f>SUMIFS(#REF!,#REF!,B96,#REF!,C96,#REF!,D96)</f>
        <v>#REF!</v>
      </c>
      <c r="K96" s="7" t="e">
        <f t="shared" si="5"/>
        <v>#REF!</v>
      </c>
    </row>
    <row r="97" spans="1:11" ht="24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ht="24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ht="24" customHeight="1">
      <c r="A99" s="1" t="s">
        <v>103</v>
      </c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ht="24" customHeight="1">
      <c r="A100" s="1" t="s">
        <v>104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ht="24" customHeight="1">
      <c r="A101" s="1" t="s">
        <v>105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ht="24" customHeight="1">
      <c r="A102" s="1" t="s">
        <v>106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B537A-1B5A-4535-ACF6-43D364E64EC5}">
  <dimension ref="A1:F113"/>
  <sheetViews>
    <sheetView tabSelected="1" workbookViewId="0">
      <selection activeCell="E11" sqref="E11"/>
    </sheetView>
  </sheetViews>
  <sheetFormatPr defaultRowHeight="14"/>
  <cols>
    <col min="1" max="6" width="20.58203125" customWidth="1"/>
  </cols>
  <sheetData>
    <row r="1" spans="1:6" ht="77.5">
      <c r="A1" s="15" t="s">
        <v>8</v>
      </c>
      <c r="B1" s="16" t="s">
        <v>9</v>
      </c>
      <c r="C1" s="15" t="s">
        <v>107</v>
      </c>
      <c r="D1" s="15" t="s">
        <v>108</v>
      </c>
      <c r="E1" s="16" t="s">
        <v>109</v>
      </c>
      <c r="F1" s="17" t="s">
        <v>368</v>
      </c>
    </row>
    <row r="2" spans="1:6">
      <c r="A2" s="12" t="s">
        <v>73</v>
      </c>
      <c r="B2" s="13" t="s">
        <v>74</v>
      </c>
      <c r="C2" s="12" t="s">
        <v>113</v>
      </c>
      <c r="D2" s="12" t="s">
        <v>132</v>
      </c>
      <c r="E2" s="13" t="s">
        <v>133</v>
      </c>
      <c r="F2" s="14">
        <v>7</v>
      </c>
    </row>
    <row r="3" spans="1:6">
      <c r="A3" s="12" t="s">
        <v>73</v>
      </c>
      <c r="B3" s="13" t="s">
        <v>134</v>
      </c>
      <c r="C3" s="12" t="s">
        <v>135</v>
      </c>
      <c r="D3" s="12" t="s">
        <v>136</v>
      </c>
      <c r="E3" s="13" t="s">
        <v>137</v>
      </c>
      <c r="F3" s="14">
        <v>3</v>
      </c>
    </row>
    <row r="4" spans="1:6">
      <c r="A4" s="12" t="s">
        <v>73</v>
      </c>
      <c r="B4" s="13" t="s">
        <v>134</v>
      </c>
      <c r="C4" s="12" t="s">
        <v>135</v>
      </c>
      <c r="D4" s="12" t="s">
        <v>138</v>
      </c>
      <c r="E4" s="13" t="s">
        <v>139</v>
      </c>
      <c r="F4" s="14">
        <v>6</v>
      </c>
    </row>
    <row r="5" spans="1:6">
      <c r="A5" s="12" t="s">
        <v>73</v>
      </c>
      <c r="B5" s="13" t="s">
        <v>140</v>
      </c>
      <c r="C5" s="12" t="s">
        <v>141</v>
      </c>
      <c r="D5" s="12" t="s">
        <v>142</v>
      </c>
      <c r="E5" s="13" t="s">
        <v>143</v>
      </c>
      <c r="F5" s="14">
        <v>5</v>
      </c>
    </row>
    <row r="6" spans="1:6">
      <c r="A6" s="12" t="s">
        <v>73</v>
      </c>
      <c r="B6" s="13" t="s">
        <v>140</v>
      </c>
      <c r="C6" s="12" t="s">
        <v>141</v>
      </c>
      <c r="D6" s="12" t="s">
        <v>144</v>
      </c>
      <c r="E6" s="13" t="s">
        <v>145</v>
      </c>
      <c r="F6" s="14">
        <v>5</v>
      </c>
    </row>
    <row r="7" spans="1:6" ht="28">
      <c r="A7" s="12" t="s">
        <v>73</v>
      </c>
      <c r="B7" s="13" t="s">
        <v>140</v>
      </c>
      <c r="C7" s="12" t="s">
        <v>141</v>
      </c>
      <c r="D7" s="12" t="s">
        <v>146</v>
      </c>
      <c r="E7" s="13" t="s">
        <v>147</v>
      </c>
      <c r="F7" s="14">
        <v>4</v>
      </c>
    </row>
    <row r="8" spans="1:6">
      <c r="A8" s="12" t="s">
        <v>73</v>
      </c>
      <c r="B8" s="13" t="s">
        <v>140</v>
      </c>
      <c r="C8" s="12" t="s">
        <v>141</v>
      </c>
      <c r="D8" s="12" t="s">
        <v>148</v>
      </c>
      <c r="E8" s="13" t="s">
        <v>149</v>
      </c>
      <c r="F8" s="14">
        <v>5</v>
      </c>
    </row>
    <row r="9" spans="1:6">
      <c r="A9" s="12" t="s">
        <v>73</v>
      </c>
      <c r="B9" s="13" t="s">
        <v>140</v>
      </c>
      <c r="C9" s="12" t="s">
        <v>141</v>
      </c>
      <c r="D9" s="12" t="s">
        <v>150</v>
      </c>
      <c r="E9" s="13" t="s">
        <v>151</v>
      </c>
      <c r="F9" s="14">
        <v>7</v>
      </c>
    </row>
    <row r="10" spans="1:6">
      <c r="A10" s="12" t="s">
        <v>73</v>
      </c>
      <c r="B10" s="13" t="s">
        <v>140</v>
      </c>
      <c r="C10" s="12" t="s">
        <v>141</v>
      </c>
      <c r="D10" s="12" t="s">
        <v>152</v>
      </c>
      <c r="E10" s="13" t="s">
        <v>153</v>
      </c>
      <c r="F10" s="14">
        <v>5</v>
      </c>
    </row>
    <row r="11" spans="1:6" ht="28">
      <c r="A11" s="12" t="s">
        <v>73</v>
      </c>
      <c r="B11" s="13" t="s">
        <v>140</v>
      </c>
      <c r="C11" s="12" t="s">
        <v>141</v>
      </c>
      <c r="D11" s="12" t="s">
        <v>154</v>
      </c>
      <c r="E11" s="13" t="s">
        <v>155</v>
      </c>
      <c r="F11" s="14">
        <v>4</v>
      </c>
    </row>
    <row r="12" spans="1:6">
      <c r="A12" s="12" t="s">
        <v>73</v>
      </c>
      <c r="B12" s="13" t="s">
        <v>140</v>
      </c>
      <c r="C12" s="12" t="s">
        <v>141</v>
      </c>
      <c r="D12" s="12" t="s">
        <v>156</v>
      </c>
      <c r="E12" s="13" t="s">
        <v>157</v>
      </c>
      <c r="F12" s="14">
        <v>5</v>
      </c>
    </row>
    <row r="13" spans="1:6">
      <c r="A13" s="12" t="s">
        <v>73</v>
      </c>
      <c r="B13" s="13" t="s">
        <v>140</v>
      </c>
      <c r="C13" s="12" t="s">
        <v>141</v>
      </c>
      <c r="D13" s="12" t="s">
        <v>158</v>
      </c>
      <c r="E13" s="13" t="s">
        <v>159</v>
      </c>
      <c r="F13" s="14">
        <v>4</v>
      </c>
    </row>
    <row r="14" spans="1:6">
      <c r="A14" s="12" t="s">
        <v>73</v>
      </c>
      <c r="B14" s="13" t="s">
        <v>140</v>
      </c>
      <c r="C14" s="12" t="s">
        <v>141</v>
      </c>
      <c r="D14" s="12" t="s">
        <v>160</v>
      </c>
      <c r="E14" s="13" t="s">
        <v>161</v>
      </c>
      <c r="F14" s="14">
        <v>3</v>
      </c>
    </row>
    <row r="15" spans="1:6">
      <c r="A15" s="12" t="s">
        <v>73</v>
      </c>
      <c r="B15" s="13" t="s">
        <v>140</v>
      </c>
      <c r="C15" s="12" t="s">
        <v>141</v>
      </c>
      <c r="D15" s="12" t="s">
        <v>162</v>
      </c>
      <c r="E15" s="13" t="s">
        <v>163</v>
      </c>
      <c r="F15" s="14">
        <v>5</v>
      </c>
    </row>
    <row r="16" spans="1:6">
      <c r="A16" s="12" t="s">
        <v>73</v>
      </c>
      <c r="B16" s="13" t="s">
        <v>140</v>
      </c>
      <c r="C16" s="12" t="s">
        <v>141</v>
      </c>
      <c r="D16" s="12" t="s">
        <v>164</v>
      </c>
      <c r="E16" s="13" t="s">
        <v>165</v>
      </c>
      <c r="F16" s="14">
        <v>2</v>
      </c>
    </row>
    <row r="17" spans="1:6">
      <c r="A17" s="12" t="s">
        <v>73</v>
      </c>
      <c r="B17" s="13" t="s">
        <v>140</v>
      </c>
      <c r="C17" s="12" t="s">
        <v>141</v>
      </c>
      <c r="D17" s="12" t="s">
        <v>166</v>
      </c>
      <c r="E17" s="13" t="s">
        <v>167</v>
      </c>
      <c r="F17" s="14">
        <v>2</v>
      </c>
    </row>
    <row r="18" spans="1:6">
      <c r="A18" s="12" t="s">
        <v>73</v>
      </c>
      <c r="B18" s="13" t="s">
        <v>75</v>
      </c>
      <c r="C18" s="12" t="s">
        <v>116</v>
      </c>
      <c r="D18" s="12" t="s">
        <v>168</v>
      </c>
      <c r="E18" s="13" t="s">
        <v>169</v>
      </c>
      <c r="F18" s="14">
        <v>4</v>
      </c>
    </row>
    <row r="19" spans="1:6">
      <c r="A19" s="12" t="s">
        <v>73</v>
      </c>
      <c r="B19" s="13" t="s">
        <v>75</v>
      </c>
      <c r="C19" s="12" t="s">
        <v>116</v>
      </c>
      <c r="D19" s="12" t="s">
        <v>170</v>
      </c>
      <c r="E19" s="13" t="s">
        <v>171</v>
      </c>
      <c r="F19" s="14">
        <v>6</v>
      </c>
    </row>
    <row r="20" spans="1:6">
      <c r="A20" s="12" t="s">
        <v>73</v>
      </c>
      <c r="B20" s="13" t="s">
        <v>75</v>
      </c>
      <c r="C20" s="12" t="s">
        <v>116</v>
      </c>
      <c r="D20" s="12" t="s">
        <v>172</v>
      </c>
      <c r="E20" s="13" t="s">
        <v>173</v>
      </c>
      <c r="F20" s="14">
        <v>3</v>
      </c>
    </row>
    <row r="21" spans="1:6">
      <c r="A21" s="12" t="s">
        <v>73</v>
      </c>
      <c r="B21" s="13" t="s">
        <v>75</v>
      </c>
      <c r="C21" s="12" t="s">
        <v>116</v>
      </c>
      <c r="D21" s="12" t="s">
        <v>174</v>
      </c>
      <c r="E21" s="13" t="s">
        <v>175</v>
      </c>
      <c r="F21" s="14">
        <v>2</v>
      </c>
    </row>
    <row r="22" spans="1:6" ht="28">
      <c r="A22" s="12" t="s">
        <v>73</v>
      </c>
      <c r="B22" s="13" t="s">
        <v>75</v>
      </c>
      <c r="C22" s="12" t="s">
        <v>116</v>
      </c>
      <c r="D22" s="12" t="s">
        <v>176</v>
      </c>
      <c r="E22" s="13" t="s">
        <v>177</v>
      </c>
      <c r="F22" s="14">
        <v>3</v>
      </c>
    </row>
    <row r="23" spans="1:6">
      <c r="A23" s="12" t="s">
        <v>73</v>
      </c>
      <c r="B23" s="13" t="s">
        <v>75</v>
      </c>
      <c r="C23" s="12" t="s">
        <v>116</v>
      </c>
      <c r="D23" s="12" t="s">
        <v>178</v>
      </c>
      <c r="E23" s="13" t="s">
        <v>179</v>
      </c>
      <c r="F23" s="14">
        <v>7</v>
      </c>
    </row>
    <row r="24" spans="1:6">
      <c r="A24" s="12" t="s">
        <v>73</v>
      </c>
      <c r="B24" s="13" t="s">
        <v>75</v>
      </c>
      <c r="C24" s="12" t="s">
        <v>116</v>
      </c>
      <c r="D24" s="12" t="s">
        <v>180</v>
      </c>
      <c r="E24" s="13" t="s">
        <v>181</v>
      </c>
      <c r="F24" s="14">
        <v>5</v>
      </c>
    </row>
    <row r="25" spans="1:6">
      <c r="A25" s="12" t="s">
        <v>73</v>
      </c>
      <c r="B25" s="13" t="s">
        <v>75</v>
      </c>
      <c r="C25" s="12" t="s">
        <v>116</v>
      </c>
      <c r="D25" s="12" t="s">
        <v>182</v>
      </c>
      <c r="E25" s="13" t="s">
        <v>183</v>
      </c>
      <c r="F25" s="14">
        <v>5</v>
      </c>
    </row>
    <row r="26" spans="1:6">
      <c r="A26" s="12" t="s">
        <v>73</v>
      </c>
      <c r="B26" s="13" t="s">
        <v>75</v>
      </c>
      <c r="C26" s="12" t="s">
        <v>116</v>
      </c>
      <c r="D26" s="12" t="s">
        <v>184</v>
      </c>
      <c r="E26" s="13" t="s">
        <v>185</v>
      </c>
      <c r="F26" s="14">
        <v>6</v>
      </c>
    </row>
    <row r="27" spans="1:6">
      <c r="A27" s="12" t="s">
        <v>73</v>
      </c>
      <c r="B27" s="13" t="s">
        <v>76</v>
      </c>
      <c r="C27" s="12" t="s">
        <v>119</v>
      </c>
      <c r="D27" s="12" t="s">
        <v>186</v>
      </c>
      <c r="E27" s="13" t="s">
        <v>187</v>
      </c>
      <c r="F27" s="14">
        <v>7</v>
      </c>
    </row>
    <row r="28" spans="1:6">
      <c r="A28" s="12" t="s">
        <v>73</v>
      </c>
      <c r="B28" s="13" t="s">
        <v>76</v>
      </c>
      <c r="C28" s="12" t="s">
        <v>119</v>
      </c>
      <c r="D28" s="12" t="s">
        <v>188</v>
      </c>
      <c r="E28" s="13" t="s">
        <v>189</v>
      </c>
      <c r="F28" s="14">
        <v>7</v>
      </c>
    </row>
    <row r="29" spans="1:6">
      <c r="A29" s="12" t="s">
        <v>73</v>
      </c>
      <c r="B29" s="13" t="s">
        <v>76</v>
      </c>
      <c r="C29" s="12" t="s">
        <v>119</v>
      </c>
      <c r="D29" s="12" t="s">
        <v>190</v>
      </c>
      <c r="E29" s="13" t="s">
        <v>191</v>
      </c>
      <c r="F29" s="14">
        <v>3</v>
      </c>
    </row>
    <row r="30" spans="1:6">
      <c r="A30" s="12" t="s">
        <v>73</v>
      </c>
      <c r="B30" s="13" t="s">
        <v>76</v>
      </c>
      <c r="C30" s="12" t="s">
        <v>119</v>
      </c>
      <c r="D30" s="12" t="s">
        <v>192</v>
      </c>
      <c r="E30" s="13" t="s">
        <v>193</v>
      </c>
      <c r="F30" s="14">
        <v>3</v>
      </c>
    </row>
    <row r="31" spans="1:6">
      <c r="A31" s="12" t="s">
        <v>73</v>
      </c>
      <c r="B31" s="13" t="s">
        <v>76</v>
      </c>
      <c r="C31" s="12" t="s">
        <v>119</v>
      </c>
      <c r="D31" s="12" t="s">
        <v>194</v>
      </c>
      <c r="E31" s="13" t="s">
        <v>195</v>
      </c>
      <c r="F31" s="14">
        <v>2</v>
      </c>
    </row>
    <row r="32" spans="1:6">
      <c r="A32" s="12" t="s">
        <v>73</v>
      </c>
      <c r="B32" s="13" t="s">
        <v>76</v>
      </c>
      <c r="C32" s="12" t="s">
        <v>119</v>
      </c>
      <c r="D32" s="12" t="s">
        <v>196</v>
      </c>
      <c r="E32" s="13" t="s">
        <v>197</v>
      </c>
      <c r="F32" s="14">
        <v>7</v>
      </c>
    </row>
    <row r="33" spans="1:6">
      <c r="A33" s="12" t="s">
        <v>73</v>
      </c>
      <c r="B33" s="13" t="s">
        <v>76</v>
      </c>
      <c r="C33" s="12" t="s">
        <v>119</v>
      </c>
      <c r="D33" s="12" t="s">
        <v>198</v>
      </c>
      <c r="E33" s="13" t="s">
        <v>199</v>
      </c>
      <c r="F33" s="14">
        <v>5</v>
      </c>
    </row>
    <row r="34" spans="1:6">
      <c r="A34" s="12" t="s">
        <v>73</v>
      </c>
      <c r="B34" s="13" t="s">
        <v>200</v>
      </c>
      <c r="C34" s="12" t="s">
        <v>201</v>
      </c>
      <c r="D34" s="12" t="s">
        <v>202</v>
      </c>
      <c r="E34" s="13" t="s">
        <v>203</v>
      </c>
      <c r="F34" s="14">
        <v>5</v>
      </c>
    </row>
    <row r="35" spans="1:6">
      <c r="A35" s="12" t="s">
        <v>73</v>
      </c>
      <c r="B35" s="13" t="s">
        <v>200</v>
      </c>
      <c r="C35" s="12" t="s">
        <v>201</v>
      </c>
      <c r="D35" s="12" t="s">
        <v>204</v>
      </c>
      <c r="E35" s="13" t="s">
        <v>205</v>
      </c>
      <c r="F35" s="14">
        <v>2</v>
      </c>
    </row>
    <row r="36" spans="1:6">
      <c r="A36" s="12" t="s">
        <v>73</v>
      </c>
      <c r="B36" s="13" t="s">
        <v>200</v>
      </c>
      <c r="C36" s="12" t="s">
        <v>201</v>
      </c>
      <c r="D36" s="12" t="s">
        <v>206</v>
      </c>
      <c r="E36" s="13" t="s">
        <v>207</v>
      </c>
      <c r="F36" s="14">
        <v>5</v>
      </c>
    </row>
    <row r="37" spans="1:6">
      <c r="A37" s="12" t="s">
        <v>73</v>
      </c>
      <c r="B37" s="13" t="s">
        <v>200</v>
      </c>
      <c r="C37" s="12" t="s">
        <v>201</v>
      </c>
      <c r="D37" s="12" t="s">
        <v>208</v>
      </c>
      <c r="E37" s="13" t="s">
        <v>209</v>
      </c>
      <c r="F37" s="14">
        <v>6</v>
      </c>
    </row>
    <row r="38" spans="1:6">
      <c r="A38" s="12" t="s">
        <v>73</v>
      </c>
      <c r="B38" s="13" t="s">
        <v>200</v>
      </c>
      <c r="C38" s="12" t="s">
        <v>201</v>
      </c>
      <c r="D38" s="12" t="s">
        <v>210</v>
      </c>
      <c r="E38" s="13" t="s">
        <v>211</v>
      </c>
      <c r="F38" s="14">
        <v>7</v>
      </c>
    </row>
    <row r="39" spans="1:6">
      <c r="A39" s="12" t="s">
        <v>73</v>
      </c>
      <c r="B39" s="13" t="s">
        <v>200</v>
      </c>
      <c r="C39" s="12" t="s">
        <v>201</v>
      </c>
      <c r="D39" s="12" t="s">
        <v>212</v>
      </c>
      <c r="E39" s="13" t="s">
        <v>213</v>
      </c>
      <c r="F39" s="14">
        <v>7</v>
      </c>
    </row>
    <row r="40" spans="1:6">
      <c r="A40" s="12" t="s">
        <v>73</v>
      </c>
      <c r="B40" s="13" t="s">
        <v>77</v>
      </c>
      <c r="C40" s="12" t="s">
        <v>122</v>
      </c>
      <c r="D40" s="12" t="s">
        <v>214</v>
      </c>
      <c r="E40" s="13" t="s">
        <v>215</v>
      </c>
      <c r="F40" s="14">
        <v>5</v>
      </c>
    </row>
    <row r="41" spans="1:6">
      <c r="A41" s="12" t="s">
        <v>73</v>
      </c>
      <c r="B41" s="13" t="s">
        <v>77</v>
      </c>
      <c r="C41" s="12" t="s">
        <v>122</v>
      </c>
      <c r="D41" s="12" t="s">
        <v>216</v>
      </c>
      <c r="E41" s="13" t="s">
        <v>217</v>
      </c>
      <c r="F41" s="14">
        <v>2</v>
      </c>
    </row>
    <row r="42" spans="1:6">
      <c r="A42" s="12" t="s">
        <v>73</v>
      </c>
      <c r="B42" s="13" t="s">
        <v>77</v>
      </c>
      <c r="C42" s="12" t="s">
        <v>122</v>
      </c>
      <c r="D42" s="12" t="s">
        <v>218</v>
      </c>
      <c r="E42" s="13" t="s">
        <v>219</v>
      </c>
      <c r="F42" s="14">
        <v>7</v>
      </c>
    </row>
    <row r="43" spans="1:6">
      <c r="A43" s="12" t="s">
        <v>73</v>
      </c>
      <c r="B43" s="13" t="s">
        <v>77</v>
      </c>
      <c r="C43" s="12" t="s">
        <v>122</v>
      </c>
      <c r="D43" s="12" t="s">
        <v>220</v>
      </c>
      <c r="E43" s="13" t="s">
        <v>221</v>
      </c>
      <c r="F43" s="14">
        <v>3</v>
      </c>
    </row>
    <row r="44" spans="1:6">
      <c r="A44" s="12" t="s">
        <v>73</v>
      </c>
      <c r="B44" s="13" t="s">
        <v>77</v>
      </c>
      <c r="C44" s="12" t="s">
        <v>122</v>
      </c>
      <c r="D44" s="12" t="s">
        <v>222</v>
      </c>
      <c r="E44" s="13" t="s">
        <v>223</v>
      </c>
      <c r="F44" s="14">
        <v>2</v>
      </c>
    </row>
    <row r="45" spans="1:6" ht="28">
      <c r="A45" s="12" t="s">
        <v>73</v>
      </c>
      <c r="B45" s="13" t="s">
        <v>77</v>
      </c>
      <c r="C45" s="12" t="s">
        <v>122</v>
      </c>
      <c r="D45" s="12" t="s">
        <v>224</v>
      </c>
      <c r="E45" s="13" t="s">
        <v>225</v>
      </c>
      <c r="F45" s="14">
        <v>7</v>
      </c>
    </row>
    <row r="46" spans="1:6">
      <c r="A46" s="12" t="s">
        <v>73</v>
      </c>
      <c r="B46" s="13" t="s">
        <v>226</v>
      </c>
      <c r="C46" s="12" t="s">
        <v>227</v>
      </c>
      <c r="D46" s="12" t="s">
        <v>228</v>
      </c>
      <c r="E46" s="13" t="s">
        <v>229</v>
      </c>
      <c r="F46" s="14">
        <v>4</v>
      </c>
    </row>
    <row r="47" spans="1:6">
      <c r="A47" s="12" t="s">
        <v>73</v>
      </c>
      <c r="B47" s="13" t="s">
        <v>226</v>
      </c>
      <c r="C47" s="12" t="s">
        <v>227</v>
      </c>
      <c r="D47" s="12" t="s">
        <v>230</v>
      </c>
      <c r="E47" s="13" t="s">
        <v>231</v>
      </c>
      <c r="F47" s="14">
        <v>5</v>
      </c>
    </row>
    <row r="48" spans="1:6">
      <c r="A48" s="12" t="s">
        <v>73</v>
      </c>
      <c r="B48" s="13" t="s">
        <v>226</v>
      </c>
      <c r="C48" s="12" t="s">
        <v>227</v>
      </c>
      <c r="D48" s="12" t="s">
        <v>232</v>
      </c>
      <c r="E48" s="13" t="s">
        <v>233</v>
      </c>
      <c r="F48" s="14">
        <v>2</v>
      </c>
    </row>
    <row r="49" spans="1:6">
      <c r="A49" s="12" t="s">
        <v>73</v>
      </c>
      <c r="B49" s="13" t="s">
        <v>234</v>
      </c>
      <c r="C49" s="12" t="s">
        <v>235</v>
      </c>
      <c r="D49" s="12" t="s">
        <v>236</v>
      </c>
      <c r="E49" s="13" t="s">
        <v>237</v>
      </c>
      <c r="F49" s="14">
        <v>2</v>
      </c>
    </row>
    <row r="50" spans="1:6">
      <c r="A50" s="12" t="s">
        <v>73</v>
      </c>
      <c r="B50" s="13" t="s">
        <v>234</v>
      </c>
      <c r="C50" s="12" t="s">
        <v>235</v>
      </c>
      <c r="D50" s="12" t="s">
        <v>238</v>
      </c>
      <c r="E50" s="13" t="s">
        <v>239</v>
      </c>
      <c r="F50" s="14">
        <v>4</v>
      </c>
    </row>
    <row r="51" spans="1:6">
      <c r="A51" s="12" t="s">
        <v>73</v>
      </c>
      <c r="B51" s="13" t="s">
        <v>234</v>
      </c>
      <c r="C51" s="12" t="s">
        <v>235</v>
      </c>
      <c r="D51" s="12" t="s">
        <v>240</v>
      </c>
      <c r="E51" s="13" t="s">
        <v>241</v>
      </c>
      <c r="F51" s="14">
        <v>5</v>
      </c>
    </row>
    <row r="52" spans="1:6">
      <c r="A52" s="12" t="s">
        <v>73</v>
      </c>
      <c r="B52" s="13" t="s">
        <v>234</v>
      </c>
      <c r="C52" s="12" t="s">
        <v>235</v>
      </c>
      <c r="D52" s="12" t="s">
        <v>242</v>
      </c>
      <c r="E52" s="13" t="s">
        <v>243</v>
      </c>
      <c r="F52" s="14">
        <v>3</v>
      </c>
    </row>
    <row r="53" spans="1:6">
      <c r="A53" s="12" t="s">
        <v>73</v>
      </c>
      <c r="B53" s="13" t="s">
        <v>234</v>
      </c>
      <c r="C53" s="12" t="s">
        <v>235</v>
      </c>
      <c r="D53" s="12" t="s">
        <v>244</v>
      </c>
      <c r="E53" s="13" t="s">
        <v>245</v>
      </c>
      <c r="F53" s="14">
        <v>5</v>
      </c>
    </row>
    <row r="54" spans="1:6">
      <c r="A54" s="12" t="s">
        <v>73</v>
      </c>
      <c r="B54" s="13" t="s">
        <v>234</v>
      </c>
      <c r="C54" s="12" t="s">
        <v>235</v>
      </c>
      <c r="D54" s="12" t="s">
        <v>246</v>
      </c>
      <c r="E54" s="13" t="s">
        <v>247</v>
      </c>
      <c r="F54" s="14">
        <v>3</v>
      </c>
    </row>
    <row r="55" spans="1:6">
      <c r="A55" s="12" t="s">
        <v>73</v>
      </c>
      <c r="B55" s="13" t="s">
        <v>248</v>
      </c>
      <c r="C55" s="12" t="s">
        <v>249</v>
      </c>
      <c r="D55" s="12" t="s">
        <v>250</v>
      </c>
      <c r="E55" s="13" t="s">
        <v>251</v>
      </c>
      <c r="F55" s="14">
        <v>3</v>
      </c>
    </row>
    <row r="56" spans="1:6">
      <c r="A56" s="12" t="s">
        <v>73</v>
      </c>
      <c r="B56" s="13" t="s">
        <v>248</v>
      </c>
      <c r="C56" s="12" t="s">
        <v>249</v>
      </c>
      <c r="D56" s="12" t="s">
        <v>252</v>
      </c>
      <c r="E56" s="13" t="s">
        <v>253</v>
      </c>
      <c r="F56" s="14">
        <v>2</v>
      </c>
    </row>
    <row r="57" spans="1:6">
      <c r="A57" s="12" t="s">
        <v>73</v>
      </c>
      <c r="B57" s="13" t="s">
        <v>248</v>
      </c>
      <c r="C57" s="12" t="s">
        <v>249</v>
      </c>
      <c r="D57" s="12" t="s">
        <v>254</v>
      </c>
      <c r="E57" s="13" t="s">
        <v>255</v>
      </c>
      <c r="F57" s="14">
        <v>4</v>
      </c>
    </row>
    <row r="58" spans="1:6">
      <c r="A58" s="12" t="s">
        <v>73</v>
      </c>
      <c r="B58" s="13" t="s">
        <v>248</v>
      </c>
      <c r="C58" s="12" t="s">
        <v>249</v>
      </c>
      <c r="D58" s="12" t="s">
        <v>256</v>
      </c>
      <c r="E58" s="13" t="s">
        <v>257</v>
      </c>
      <c r="F58" s="14">
        <v>4</v>
      </c>
    </row>
    <row r="59" spans="1:6">
      <c r="A59" s="12" t="s">
        <v>73</v>
      </c>
      <c r="B59" s="13" t="s">
        <v>248</v>
      </c>
      <c r="C59" s="12" t="s">
        <v>249</v>
      </c>
      <c r="D59" s="12" t="s">
        <v>258</v>
      </c>
      <c r="E59" s="13" t="s">
        <v>259</v>
      </c>
      <c r="F59" s="14">
        <v>6</v>
      </c>
    </row>
    <row r="60" spans="1:6">
      <c r="A60" s="12" t="s">
        <v>73</v>
      </c>
      <c r="B60" s="13" t="s">
        <v>260</v>
      </c>
      <c r="C60" s="12" t="s">
        <v>261</v>
      </c>
      <c r="D60" s="12" t="s">
        <v>262</v>
      </c>
      <c r="E60" s="13" t="s">
        <v>263</v>
      </c>
      <c r="F60" s="14">
        <v>5</v>
      </c>
    </row>
    <row r="61" spans="1:6">
      <c r="A61" s="12" t="s">
        <v>73</v>
      </c>
      <c r="B61" s="13" t="s">
        <v>260</v>
      </c>
      <c r="C61" s="12" t="s">
        <v>261</v>
      </c>
      <c r="D61" s="12" t="s">
        <v>264</v>
      </c>
      <c r="E61" s="13" t="s">
        <v>265</v>
      </c>
      <c r="F61" s="14">
        <v>3</v>
      </c>
    </row>
    <row r="62" spans="1:6">
      <c r="A62" s="12" t="s">
        <v>73</v>
      </c>
      <c r="B62" s="13" t="s">
        <v>260</v>
      </c>
      <c r="C62" s="12" t="s">
        <v>261</v>
      </c>
      <c r="D62" s="12" t="s">
        <v>266</v>
      </c>
      <c r="E62" s="13" t="s">
        <v>267</v>
      </c>
      <c r="F62" s="14">
        <v>7</v>
      </c>
    </row>
    <row r="63" spans="1:6">
      <c r="A63" s="12" t="s">
        <v>73</v>
      </c>
      <c r="B63" s="13" t="s">
        <v>260</v>
      </c>
      <c r="C63" s="12" t="s">
        <v>261</v>
      </c>
      <c r="D63" s="12" t="s">
        <v>268</v>
      </c>
      <c r="E63" s="13" t="s">
        <v>269</v>
      </c>
      <c r="F63" s="14">
        <v>5</v>
      </c>
    </row>
    <row r="64" spans="1:6">
      <c r="A64" s="12" t="s">
        <v>73</v>
      </c>
      <c r="B64" s="13" t="s">
        <v>260</v>
      </c>
      <c r="C64" s="12" t="s">
        <v>261</v>
      </c>
      <c r="D64" s="12" t="s">
        <v>270</v>
      </c>
      <c r="E64" s="13" t="s">
        <v>129</v>
      </c>
      <c r="F64" s="14">
        <v>3</v>
      </c>
    </row>
    <row r="65" spans="1:6">
      <c r="A65" s="12" t="s">
        <v>73</v>
      </c>
      <c r="B65" s="13" t="s">
        <v>260</v>
      </c>
      <c r="C65" s="12" t="s">
        <v>261</v>
      </c>
      <c r="D65" s="12" t="s">
        <v>271</v>
      </c>
      <c r="E65" s="13" t="s">
        <v>272</v>
      </c>
      <c r="F65" s="14">
        <v>5</v>
      </c>
    </row>
    <row r="66" spans="1:6">
      <c r="A66" s="12" t="s">
        <v>73</v>
      </c>
      <c r="B66" s="13" t="s">
        <v>260</v>
      </c>
      <c r="C66" s="12" t="s">
        <v>261</v>
      </c>
      <c r="D66" s="12" t="s">
        <v>273</v>
      </c>
      <c r="E66" s="13" t="s">
        <v>274</v>
      </c>
      <c r="F66" s="14">
        <v>7</v>
      </c>
    </row>
    <row r="67" spans="1:6">
      <c r="A67" s="12" t="s">
        <v>73</v>
      </c>
      <c r="B67" s="13" t="s">
        <v>78</v>
      </c>
      <c r="C67" s="12" t="s">
        <v>124</v>
      </c>
      <c r="D67" s="12" t="s">
        <v>275</v>
      </c>
      <c r="E67" s="13" t="s">
        <v>276</v>
      </c>
      <c r="F67" s="14">
        <v>5</v>
      </c>
    </row>
    <row r="68" spans="1:6">
      <c r="A68" s="12" t="s">
        <v>73</v>
      </c>
      <c r="B68" s="13" t="s">
        <v>78</v>
      </c>
      <c r="C68" s="12" t="s">
        <v>124</v>
      </c>
      <c r="D68" s="12" t="s">
        <v>277</v>
      </c>
      <c r="E68" s="13" t="s">
        <v>278</v>
      </c>
      <c r="F68" s="14">
        <v>4</v>
      </c>
    </row>
    <row r="69" spans="1:6">
      <c r="A69" s="12" t="s">
        <v>73</v>
      </c>
      <c r="B69" s="13" t="s">
        <v>78</v>
      </c>
      <c r="C69" s="12" t="s">
        <v>124</v>
      </c>
      <c r="D69" s="12" t="s">
        <v>279</v>
      </c>
      <c r="E69" s="13" t="s">
        <v>280</v>
      </c>
      <c r="F69" s="14">
        <v>6</v>
      </c>
    </row>
    <row r="70" spans="1:6">
      <c r="A70" s="12" t="s">
        <v>73</v>
      </c>
      <c r="B70" s="13" t="s">
        <v>78</v>
      </c>
      <c r="C70" s="12" t="s">
        <v>124</v>
      </c>
      <c r="D70" s="12" t="s">
        <v>281</v>
      </c>
      <c r="E70" s="13" t="s">
        <v>282</v>
      </c>
      <c r="F70" s="14">
        <v>3</v>
      </c>
    </row>
    <row r="71" spans="1:6">
      <c r="A71" s="12" t="s">
        <v>73</v>
      </c>
      <c r="B71" s="13" t="s">
        <v>78</v>
      </c>
      <c r="C71" s="12" t="s">
        <v>124</v>
      </c>
      <c r="D71" s="12" t="s">
        <v>283</v>
      </c>
      <c r="E71" s="13" t="s">
        <v>284</v>
      </c>
      <c r="F71" s="14">
        <v>7</v>
      </c>
    </row>
    <row r="72" spans="1:6">
      <c r="A72" s="12" t="s">
        <v>73</v>
      </c>
      <c r="B72" s="13" t="s">
        <v>78</v>
      </c>
      <c r="C72" s="12" t="s">
        <v>124</v>
      </c>
      <c r="D72" s="12" t="s">
        <v>285</v>
      </c>
      <c r="E72" s="13" t="s">
        <v>128</v>
      </c>
      <c r="F72" s="14">
        <v>7</v>
      </c>
    </row>
    <row r="73" spans="1:6" ht="28">
      <c r="A73" s="12" t="s">
        <v>73</v>
      </c>
      <c r="B73" s="13" t="s">
        <v>286</v>
      </c>
      <c r="C73" s="12" t="s">
        <v>287</v>
      </c>
      <c r="D73" s="12" t="s">
        <v>288</v>
      </c>
      <c r="E73" s="13" t="s">
        <v>289</v>
      </c>
      <c r="F73" s="14">
        <v>3</v>
      </c>
    </row>
    <row r="74" spans="1:6" ht="28">
      <c r="A74" s="12" t="s">
        <v>73</v>
      </c>
      <c r="B74" s="13" t="s">
        <v>286</v>
      </c>
      <c r="C74" s="12" t="s">
        <v>287</v>
      </c>
      <c r="D74" s="12" t="s">
        <v>290</v>
      </c>
      <c r="E74" s="13" t="s">
        <v>130</v>
      </c>
      <c r="F74" s="14">
        <v>3</v>
      </c>
    </row>
    <row r="75" spans="1:6" ht="28">
      <c r="A75" s="12" t="s">
        <v>73</v>
      </c>
      <c r="B75" s="13" t="s">
        <v>286</v>
      </c>
      <c r="C75" s="12" t="s">
        <v>287</v>
      </c>
      <c r="D75" s="12" t="s">
        <v>291</v>
      </c>
      <c r="E75" s="13" t="s">
        <v>292</v>
      </c>
      <c r="F75" s="14">
        <v>5</v>
      </c>
    </row>
    <row r="76" spans="1:6">
      <c r="A76" s="12" t="s">
        <v>73</v>
      </c>
      <c r="B76" s="13" t="s">
        <v>293</v>
      </c>
      <c r="C76" s="12" t="s">
        <v>294</v>
      </c>
      <c r="D76" s="12" t="s">
        <v>295</v>
      </c>
      <c r="E76" s="13" t="s">
        <v>296</v>
      </c>
      <c r="F76" s="14">
        <v>5</v>
      </c>
    </row>
    <row r="77" spans="1:6">
      <c r="A77" s="12" t="s">
        <v>73</v>
      </c>
      <c r="B77" s="13" t="s">
        <v>293</v>
      </c>
      <c r="C77" s="12" t="s">
        <v>294</v>
      </c>
      <c r="D77" s="12" t="s">
        <v>297</v>
      </c>
      <c r="E77" s="13" t="s">
        <v>298</v>
      </c>
      <c r="F77" s="14">
        <v>6</v>
      </c>
    </row>
    <row r="78" spans="1:6">
      <c r="A78" s="12" t="s">
        <v>73</v>
      </c>
      <c r="B78" s="13" t="s">
        <v>293</v>
      </c>
      <c r="C78" s="12" t="s">
        <v>294</v>
      </c>
      <c r="D78" s="12" t="s">
        <v>299</v>
      </c>
      <c r="E78" s="13" t="s">
        <v>300</v>
      </c>
      <c r="F78" s="14">
        <v>7</v>
      </c>
    </row>
    <row r="79" spans="1:6">
      <c r="A79" s="12" t="s">
        <v>73</v>
      </c>
      <c r="B79" s="13" t="s">
        <v>293</v>
      </c>
      <c r="C79" s="12" t="s">
        <v>294</v>
      </c>
      <c r="D79" s="12" t="s">
        <v>301</v>
      </c>
      <c r="E79" s="13" t="s">
        <v>302</v>
      </c>
      <c r="F79" s="14">
        <v>3</v>
      </c>
    </row>
    <row r="80" spans="1:6">
      <c r="A80" s="12" t="s">
        <v>73</v>
      </c>
      <c r="B80" s="13" t="s">
        <v>303</v>
      </c>
      <c r="C80" s="12" t="s">
        <v>304</v>
      </c>
      <c r="D80" s="12" t="s">
        <v>305</v>
      </c>
      <c r="E80" s="13" t="s">
        <v>306</v>
      </c>
      <c r="F80" s="14">
        <v>2</v>
      </c>
    </row>
    <row r="81" spans="1:6">
      <c r="A81" s="12" t="s">
        <v>73</v>
      </c>
      <c r="B81" s="13" t="s">
        <v>303</v>
      </c>
      <c r="C81" s="12" t="s">
        <v>304</v>
      </c>
      <c r="D81" s="12" t="s">
        <v>307</v>
      </c>
      <c r="E81" s="13" t="s">
        <v>131</v>
      </c>
      <c r="F81" s="14">
        <v>3</v>
      </c>
    </row>
    <row r="82" spans="1:6">
      <c r="A82" s="12" t="s">
        <v>73</v>
      </c>
      <c r="B82" s="13" t="s">
        <v>303</v>
      </c>
      <c r="C82" s="12" t="s">
        <v>304</v>
      </c>
      <c r="D82" s="12" t="s">
        <v>308</v>
      </c>
      <c r="E82" s="13" t="s">
        <v>309</v>
      </c>
      <c r="F82" s="14">
        <v>7</v>
      </c>
    </row>
    <row r="83" spans="1:6">
      <c r="A83" s="12" t="s">
        <v>73</v>
      </c>
      <c r="B83" s="13" t="s">
        <v>310</v>
      </c>
      <c r="C83" s="12" t="s">
        <v>311</v>
      </c>
      <c r="D83" s="12" t="s">
        <v>312</v>
      </c>
      <c r="E83" s="13" t="s">
        <v>313</v>
      </c>
      <c r="F83" s="14">
        <v>2</v>
      </c>
    </row>
    <row r="84" spans="1:6">
      <c r="A84" s="12" t="s">
        <v>73</v>
      </c>
      <c r="B84" s="13" t="s">
        <v>310</v>
      </c>
      <c r="C84" s="12" t="s">
        <v>311</v>
      </c>
      <c r="D84" s="12" t="s">
        <v>314</v>
      </c>
      <c r="E84" s="13" t="s">
        <v>315</v>
      </c>
      <c r="F84" s="14">
        <v>3</v>
      </c>
    </row>
    <row r="85" spans="1:6">
      <c r="A85" s="12" t="s">
        <v>73</v>
      </c>
      <c r="B85" s="13" t="s">
        <v>310</v>
      </c>
      <c r="C85" s="12" t="s">
        <v>311</v>
      </c>
      <c r="D85" s="12" t="s">
        <v>316</v>
      </c>
      <c r="E85" s="13" t="s">
        <v>317</v>
      </c>
      <c r="F85" s="14">
        <v>6</v>
      </c>
    </row>
    <row r="86" spans="1:6">
      <c r="A86" s="12" t="s">
        <v>73</v>
      </c>
      <c r="B86" s="13" t="s">
        <v>310</v>
      </c>
      <c r="C86" s="12" t="s">
        <v>311</v>
      </c>
      <c r="D86" s="12" t="s">
        <v>318</v>
      </c>
      <c r="E86" s="13" t="s">
        <v>319</v>
      </c>
      <c r="F86" s="14">
        <v>3</v>
      </c>
    </row>
    <row r="87" spans="1:6">
      <c r="A87" s="12" t="s">
        <v>73</v>
      </c>
      <c r="B87" s="13" t="s">
        <v>310</v>
      </c>
      <c r="C87" s="12" t="s">
        <v>311</v>
      </c>
      <c r="D87" s="12" t="s">
        <v>320</v>
      </c>
      <c r="E87" s="13" t="s">
        <v>321</v>
      </c>
      <c r="F87" s="14">
        <v>4</v>
      </c>
    </row>
    <row r="88" spans="1:6">
      <c r="A88" s="12" t="s">
        <v>73</v>
      </c>
      <c r="B88" s="13" t="s">
        <v>310</v>
      </c>
      <c r="C88" s="12" t="s">
        <v>311</v>
      </c>
      <c r="D88" s="12" t="s">
        <v>322</v>
      </c>
      <c r="E88" s="13" t="s">
        <v>323</v>
      </c>
      <c r="F88" s="14">
        <v>5</v>
      </c>
    </row>
    <row r="89" spans="1:6">
      <c r="A89" s="12" t="s">
        <v>73</v>
      </c>
      <c r="B89" s="13" t="s">
        <v>324</v>
      </c>
      <c r="C89" s="12" t="s">
        <v>325</v>
      </c>
      <c r="D89" s="12" t="s">
        <v>326</v>
      </c>
      <c r="E89" s="13" t="s">
        <v>327</v>
      </c>
      <c r="F89" s="14">
        <v>7</v>
      </c>
    </row>
    <row r="90" spans="1:6">
      <c r="A90" s="12" t="s">
        <v>73</v>
      </c>
      <c r="B90" s="13" t="s">
        <v>324</v>
      </c>
      <c r="C90" s="12" t="s">
        <v>325</v>
      </c>
      <c r="D90" s="12" t="s">
        <v>328</v>
      </c>
      <c r="E90" s="13" t="s">
        <v>329</v>
      </c>
      <c r="F90" s="14">
        <v>2</v>
      </c>
    </row>
    <row r="91" spans="1:6">
      <c r="A91" s="12" t="s">
        <v>73</v>
      </c>
      <c r="B91" s="13" t="s">
        <v>324</v>
      </c>
      <c r="C91" s="12" t="s">
        <v>325</v>
      </c>
      <c r="D91" s="12" t="s">
        <v>330</v>
      </c>
      <c r="E91" s="13" t="s">
        <v>331</v>
      </c>
      <c r="F91" s="14">
        <v>3</v>
      </c>
    </row>
    <row r="92" spans="1:6">
      <c r="A92" s="12" t="s">
        <v>73</v>
      </c>
      <c r="B92" s="13" t="s">
        <v>324</v>
      </c>
      <c r="C92" s="12" t="s">
        <v>325</v>
      </c>
      <c r="D92" s="12" t="s">
        <v>332</v>
      </c>
      <c r="E92" s="13" t="s">
        <v>333</v>
      </c>
      <c r="F92" s="14">
        <v>2</v>
      </c>
    </row>
    <row r="93" spans="1:6">
      <c r="A93" s="12" t="s">
        <v>73</v>
      </c>
      <c r="B93" s="13" t="s">
        <v>334</v>
      </c>
      <c r="C93" s="12" t="s">
        <v>335</v>
      </c>
      <c r="D93" s="12" t="s">
        <v>336</v>
      </c>
      <c r="E93" s="13" t="s">
        <v>337</v>
      </c>
      <c r="F93" s="14">
        <v>4</v>
      </c>
    </row>
    <row r="94" spans="1:6">
      <c r="A94" s="12" t="s">
        <v>73</v>
      </c>
      <c r="B94" s="13" t="s">
        <v>334</v>
      </c>
      <c r="C94" s="12" t="s">
        <v>335</v>
      </c>
      <c r="D94" s="12" t="s">
        <v>338</v>
      </c>
      <c r="E94" s="13" t="s">
        <v>339</v>
      </c>
      <c r="F94" s="14">
        <v>7</v>
      </c>
    </row>
    <row r="95" spans="1:6">
      <c r="A95" s="12" t="s">
        <v>73</v>
      </c>
      <c r="B95" s="13" t="s">
        <v>334</v>
      </c>
      <c r="C95" s="12" t="s">
        <v>335</v>
      </c>
      <c r="D95" s="12" t="s">
        <v>340</v>
      </c>
      <c r="E95" s="13" t="s">
        <v>341</v>
      </c>
      <c r="F95" s="14">
        <v>6</v>
      </c>
    </row>
    <row r="96" spans="1:6">
      <c r="A96" s="12" t="s">
        <v>73</v>
      </c>
      <c r="B96" s="13" t="s">
        <v>334</v>
      </c>
      <c r="C96" s="12" t="s">
        <v>335</v>
      </c>
      <c r="D96" s="12" t="s">
        <v>342</v>
      </c>
      <c r="E96" s="13" t="s">
        <v>343</v>
      </c>
      <c r="F96" s="14">
        <v>2</v>
      </c>
    </row>
    <row r="97" spans="1:6">
      <c r="A97" s="12" t="s">
        <v>73</v>
      </c>
      <c r="B97" s="13" t="s">
        <v>334</v>
      </c>
      <c r="C97" s="12" t="s">
        <v>335</v>
      </c>
      <c r="D97" s="12" t="s">
        <v>344</v>
      </c>
      <c r="E97" s="13" t="s">
        <v>345</v>
      </c>
      <c r="F97" s="14">
        <v>6</v>
      </c>
    </row>
    <row r="98" spans="1:6">
      <c r="A98" s="12" t="s">
        <v>73</v>
      </c>
      <c r="B98" s="13" t="s">
        <v>334</v>
      </c>
      <c r="C98" s="12" t="s">
        <v>335</v>
      </c>
      <c r="D98" s="12" t="s">
        <v>346</v>
      </c>
      <c r="E98" s="13" t="s">
        <v>347</v>
      </c>
      <c r="F98" s="14">
        <v>4</v>
      </c>
    </row>
    <row r="99" spans="1:6">
      <c r="A99" s="12" t="s">
        <v>73</v>
      </c>
      <c r="B99" s="13" t="s">
        <v>334</v>
      </c>
      <c r="C99" s="12" t="s">
        <v>335</v>
      </c>
      <c r="D99" s="12" t="s">
        <v>348</v>
      </c>
      <c r="E99" s="13" t="s">
        <v>349</v>
      </c>
      <c r="F99" s="14">
        <v>5</v>
      </c>
    </row>
    <row r="100" spans="1:6">
      <c r="A100" s="12" t="s">
        <v>73</v>
      </c>
      <c r="B100" s="13" t="s">
        <v>350</v>
      </c>
      <c r="C100" s="12" t="s">
        <v>351</v>
      </c>
      <c r="D100" s="12" t="s">
        <v>352</v>
      </c>
      <c r="E100" s="13" t="s">
        <v>353</v>
      </c>
      <c r="F100" s="14">
        <v>5</v>
      </c>
    </row>
    <row r="101" spans="1:6">
      <c r="A101" s="12" t="s">
        <v>73</v>
      </c>
      <c r="B101" s="13" t="s">
        <v>350</v>
      </c>
      <c r="C101" s="12" t="s">
        <v>351</v>
      </c>
      <c r="D101" s="12" t="s">
        <v>354</v>
      </c>
      <c r="E101" s="13" t="s">
        <v>355</v>
      </c>
      <c r="F101" s="14">
        <v>2</v>
      </c>
    </row>
    <row r="102" spans="1:6">
      <c r="A102" s="12" t="s">
        <v>73</v>
      </c>
      <c r="B102" s="13" t="s">
        <v>350</v>
      </c>
      <c r="C102" s="12" t="s">
        <v>351</v>
      </c>
      <c r="D102" s="12" t="s">
        <v>356</v>
      </c>
      <c r="E102" s="13" t="s">
        <v>357</v>
      </c>
      <c r="F102" s="14">
        <v>5</v>
      </c>
    </row>
    <row r="103" spans="1:6">
      <c r="A103" s="12" t="s">
        <v>73</v>
      </c>
      <c r="B103" s="13" t="s">
        <v>350</v>
      </c>
      <c r="C103" s="12" t="s">
        <v>351</v>
      </c>
      <c r="D103" s="12" t="s">
        <v>358</v>
      </c>
      <c r="E103" s="13" t="s">
        <v>359</v>
      </c>
      <c r="F103" s="14">
        <v>4</v>
      </c>
    </row>
    <row r="104" spans="1:6">
      <c r="A104" s="12" t="s">
        <v>73</v>
      </c>
      <c r="B104" s="13" t="s">
        <v>350</v>
      </c>
      <c r="C104" s="12" t="s">
        <v>351</v>
      </c>
      <c r="D104" s="12" t="s">
        <v>360</v>
      </c>
      <c r="E104" s="13" t="s">
        <v>361</v>
      </c>
      <c r="F104" s="14">
        <v>2</v>
      </c>
    </row>
    <row r="105" spans="1:6">
      <c r="A105" s="12" t="s">
        <v>73</v>
      </c>
      <c r="B105" s="13" t="s">
        <v>350</v>
      </c>
      <c r="C105" s="12" t="s">
        <v>351</v>
      </c>
      <c r="D105" s="12" t="s">
        <v>362</v>
      </c>
      <c r="E105" s="13" t="s">
        <v>363</v>
      </c>
      <c r="F105" s="14">
        <v>7</v>
      </c>
    </row>
    <row r="106" spans="1:6">
      <c r="A106" s="12" t="s">
        <v>73</v>
      </c>
      <c r="B106" s="13" t="s">
        <v>79</v>
      </c>
      <c r="C106" s="12" t="s">
        <v>126</v>
      </c>
      <c r="D106" s="12" t="s">
        <v>364</v>
      </c>
      <c r="E106" s="13" t="s">
        <v>365</v>
      </c>
      <c r="F106" s="14">
        <v>3</v>
      </c>
    </row>
    <row r="107" spans="1:6">
      <c r="A107" s="12" t="s">
        <v>73</v>
      </c>
      <c r="B107" s="13" t="s">
        <v>79</v>
      </c>
      <c r="C107" s="12" t="s">
        <v>126</v>
      </c>
      <c r="D107" s="12" t="s">
        <v>366</v>
      </c>
      <c r="E107" s="13" t="s">
        <v>367</v>
      </c>
      <c r="F107" s="14">
        <v>3</v>
      </c>
    </row>
    <row r="108" spans="1:6">
      <c r="A108" s="12" t="s">
        <v>73</v>
      </c>
      <c r="B108" s="13" t="s">
        <v>74</v>
      </c>
      <c r="C108" s="12" t="s">
        <v>113</v>
      </c>
      <c r="D108" s="12" t="s">
        <v>114</v>
      </c>
      <c r="E108" s="13" t="s">
        <v>115</v>
      </c>
      <c r="F108" s="14">
        <v>47</v>
      </c>
    </row>
    <row r="109" spans="1:6">
      <c r="A109" s="12" t="s">
        <v>73</v>
      </c>
      <c r="B109" s="13" t="s">
        <v>75</v>
      </c>
      <c r="C109" s="12" t="s">
        <v>116</v>
      </c>
      <c r="D109" s="12" t="s">
        <v>117</v>
      </c>
      <c r="E109" s="13" t="s">
        <v>118</v>
      </c>
      <c r="F109" s="14">
        <v>25</v>
      </c>
    </row>
    <row r="110" spans="1:6">
      <c r="A110" s="12" t="s">
        <v>73</v>
      </c>
      <c r="B110" s="13" t="s">
        <v>76</v>
      </c>
      <c r="C110" s="12" t="s">
        <v>119</v>
      </c>
      <c r="D110" s="12" t="s">
        <v>120</v>
      </c>
      <c r="E110" s="13" t="s">
        <v>121</v>
      </c>
      <c r="F110" s="14">
        <v>47</v>
      </c>
    </row>
    <row r="111" spans="1:6">
      <c r="A111" s="12" t="s">
        <v>73</v>
      </c>
      <c r="B111" s="13" t="s">
        <v>77</v>
      </c>
      <c r="C111" s="12" t="s">
        <v>122</v>
      </c>
      <c r="D111" s="12" t="s">
        <v>123</v>
      </c>
      <c r="E111" s="13" t="s">
        <v>111</v>
      </c>
      <c r="F111" s="14">
        <v>47</v>
      </c>
    </row>
    <row r="112" spans="1:6">
      <c r="A112" s="12" t="s">
        <v>73</v>
      </c>
      <c r="B112" s="13" t="s">
        <v>78</v>
      </c>
      <c r="C112" s="12" t="s">
        <v>124</v>
      </c>
      <c r="D112" s="12" t="s">
        <v>125</v>
      </c>
      <c r="E112" s="13" t="s">
        <v>110</v>
      </c>
      <c r="F112" s="14">
        <v>25</v>
      </c>
    </row>
    <row r="113" spans="1:6">
      <c r="A113" s="12" t="s">
        <v>73</v>
      </c>
      <c r="B113" s="13" t="s">
        <v>79</v>
      </c>
      <c r="C113" s="12" t="s">
        <v>126</v>
      </c>
      <c r="D113" s="12" t="s">
        <v>127</v>
      </c>
      <c r="E113" s="13" t="s">
        <v>112</v>
      </c>
      <c r="F113" s="14">
        <v>25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1060475-7e7f-4ede-8d8d-bf61f53ca528}" enabled="0" method="" siteId="{81060475-7e7f-4ede-8d8d-bf61f53ca52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NPP Sup DDKD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Chien Le Minh</cp:lastModifiedBy>
  <dcterms:modified xsi:type="dcterms:W3CDTF">2026-10-09T01:16:44Z</dcterms:modified>
</cp:coreProperties>
</file>