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asangroup-my.sharepoint.com/personal/chienlm_msc_masangroup_com/Documents/Desktop/Chiến_Dashboard/data/"/>
    </mc:Choice>
  </mc:AlternateContent>
  <xr:revisionPtr revIDLastSave="110" documentId="13_ncr:1_{69CA6AAE-C5E7-4F5E-AE15-5A73AB5F5C0C}" xr6:coauthVersionLast="47" xr6:coauthVersionMax="47" xr10:uidLastSave="{71754983-96B4-4263-8018-1E1353A539F7}"/>
  <bookViews>
    <workbookView xWindow="-110" yWindow="-110" windowWidth="19420" windowHeight="10300" firstSheet="1" activeTab="1" xr2:uid="{00000000-000D-0000-FFFF-FFFF00000000}"/>
  </bookViews>
  <sheets>
    <sheet name="NPP Sup DDKD" sheetId="1" r:id="rId1"/>
    <sheet name="F4" sheetId="2" r:id="rId2"/>
    <sheet name="F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4" l="1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95" i="1"/>
  <c r="K95" i="1" s="1"/>
  <c r="J93" i="1"/>
  <c r="K93" i="1" s="1"/>
  <c r="J91" i="1"/>
  <c r="K91" i="1" s="1"/>
  <c r="J90" i="1"/>
  <c r="K90" i="1" s="1"/>
  <c r="J88" i="1"/>
  <c r="K88" i="1" s="1"/>
  <c r="J87" i="1"/>
  <c r="K87" i="1" s="1"/>
  <c r="J85" i="1"/>
  <c r="K85" i="1" s="1"/>
  <c r="J84" i="1"/>
  <c r="K84" i="1" s="1"/>
  <c r="J83" i="1"/>
  <c r="K83" i="1" s="1"/>
  <c r="J82" i="1"/>
  <c r="K82" i="1" s="1"/>
  <c r="J81" i="1"/>
  <c r="K81" i="1" s="1"/>
  <c r="J75" i="1"/>
  <c r="H7" i="2"/>
  <c r="H6" i="2"/>
  <c r="H5" i="2"/>
  <c r="J71" i="1" s="1"/>
  <c r="K71" i="1" s="1"/>
  <c r="H4" i="2"/>
  <c r="J70" i="1" s="1"/>
  <c r="K70" i="1" s="1"/>
  <c r="H3" i="2"/>
  <c r="J69" i="1" s="1"/>
  <c r="K69" i="1" s="1"/>
  <c r="H2" i="2"/>
  <c r="J68" i="1" s="1"/>
  <c r="K68" i="1" s="1"/>
  <c r="J61" i="1"/>
  <c r="K61" i="1" s="1"/>
  <c r="J60" i="1"/>
  <c r="K60" i="1" s="1"/>
  <c r="J59" i="1"/>
  <c r="K59" i="1" s="1"/>
  <c r="J55" i="1"/>
  <c r="K55" i="1" s="1"/>
  <c r="J54" i="1"/>
  <c r="K54" i="1" s="1"/>
  <c r="J53" i="1"/>
  <c r="K53" i="1" s="1"/>
  <c r="J52" i="1"/>
  <c r="K52" i="1" s="1"/>
  <c r="J50" i="1"/>
  <c r="K50" i="1" s="1"/>
  <c r="J48" i="1"/>
  <c r="K48" i="1" s="1"/>
  <c r="J45" i="1"/>
  <c r="K45" i="1" s="1"/>
  <c r="J44" i="1"/>
  <c r="K44" i="1" s="1"/>
  <c r="J43" i="1"/>
  <c r="K43" i="1" s="1"/>
  <c r="J41" i="1"/>
  <c r="K41" i="1" s="1"/>
  <c r="J39" i="1"/>
  <c r="K39" i="1" s="1"/>
  <c r="J38" i="1"/>
  <c r="K38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4" i="1"/>
  <c r="K24" i="1" s="1"/>
  <c r="J23" i="1"/>
  <c r="K23" i="1" s="1"/>
  <c r="J19" i="1"/>
  <c r="K19" i="1" s="1"/>
  <c r="J17" i="1"/>
  <c r="K17" i="1" s="1"/>
  <c r="J16" i="1"/>
  <c r="K16" i="1" s="1"/>
  <c r="J15" i="1"/>
  <c r="K15" i="1" s="1"/>
  <c r="J11" i="1"/>
  <c r="J96" i="1"/>
  <c r="K96" i="1" s="1"/>
  <c r="I96" i="1"/>
  <c r="H96" i="1"/>
  <c r="F96" i="1"/>
  <c r="E96" i="1"/>
  <c r="I95" i="1"/>
  <c r="H95" i="1"/>
  <c r="F95" i="1"/>
  <c r="E95" i="1"/>
  <c r="G95" i="1" s="1"/>
  <c r="J94" i="1"/>
  <c r="K94" i="1" s="1"/>
  <c r="I94" i="1"/>
  <c r="H94" i="1"/>
  <c r="F94" i="1"/>
  <c r="E94" i="1"/>
  <c r="G94" i="1" s="1"/>
  <c r="I93" i="1"/>
  <c r="H93" i="1"/>
  <c r="F93" i="1"/>
  <c r="E93" i="1"/>
  <c r="G93" i="1" s="1"/>
  <c r="J92" i="1"/>
  <c r="K92" i="1" s="1"/>
  <c r="I92" i="1"/>
  <c r="H92" i="1"/>
  <c r="F92" i="1"/>
  <c r="E92" i="1"/>
  <c r="I91" i="1"/>
  <c r="H91" i="1"/>
  <c r="F91" i="1"/>
  <c r="E91" i="1"/>
  <c r="I90" i="1"/>
  <c r="H90" i="1"/>
  <c r="F90" i="1"/>
  <c r="E90" i="1"/>
  <c r="J89" i="1"/>
  <c r="K89" i="1" s="1"/>
  <c r="I89" i="1"/>
  <c r="H89" i="1"/>
  <c r="F89" i="1"/>
  <c r="E89" i="1"/>
  <c r="I88" i="1"/>
  <c r="H88" i="1"/>
  <c r="F88" i="1"/>
  <c r="E88" i="1"/>
  <c r="I87" i="1"/>
  <c r="H87" i="1"/>
  <c r="F87" i="1"/>
  <c r="E87" i="1"/>
  <c r="I86" i="1"/>
  <c r="H86" i="1"/>
  <c r="F86" i="1"/>
  <c r="E86" i="1"/>
  <c r="I85" i="1"/>
  <c r="H85" i="1"/>
  <c r="F85" i="1"/>
  <c r="E85" i="1"/>
  <c r="I84" i="1"/>
  <c r="H84" i="1"/>
  <c r="F84" i="1"/>
  <c r="E84" i="1"/>
  <c r="I83" i="1"/>
  <c r="H83" i="1"/>
  <c r="F83" i="1"/>
  <c r="E83" i="1"/>
  <c r="I82" i="1"/>
  <c r="H82" i="1"/>
  <c r="F82" i="1"/>
  <c r="E82" i="1"/>
  <c r="I81" i="1"/>
  <c r="H81" i="1"/>
  <c r="F81" i="1"/>
  <c r="E81" i="1"/>
  <c r="I80" i="1"/>
  <c r="H80" i="1"/>
  <c r="F80" i="1"/>
  <c r="E80" i="1"/>
  <c r="I79" i="1"/>
  <c r="H79" i="1"/>
  <c r="F79" i="1"/>
  <c r="E79" i="1"/>
  <c r="J78" i="1"/>
  <c r="K78" i="1" s="1"/>
  <c r="I78" i="1"/>
  <c r="H78" i="1"/>
  <c r="F78" i="1"/>
  <c r="E78" i="1"/>
  <c r="I77" i="1"/>
  <c r="H77" i="1"/>
  <c r="F77" i="1"/>
  <c r="E77" i="1"/>
  <c r="J76" i="1"/>
  <c r="K76" i="1" s="1"/>
  <c r="I76" i="1"/>
  <c r="H76" i="1"/>
  <c r="F76" i="1"/>
  <c r="E76" i="1"/>
  <c r="I75" i="1"/>
  <c r="H75" i="1"/>
  <c r="F75" i="1"/>
  <c r="E75" i="1"/>
  <c r="I74" i="1"/>
  <c r="H74" i="1"/>
  <c r="F74" i="1"/>
  <c r="E74" i="1"/>
  <c r="J73" i="1"/>
  <c r="K73" i="1" s="1"/>
  <c r="I73" i="1"/>
  <c r="H73" i="1"/>
  <c r="F73" i="1"/>
  <c r="E73" i="1"/>
  <c r="J72" i="1"/>
  <c r="K72" i="1" s="1"/>
  <c r="I72" i="1"/>
  <c r="H72" i="1"/>
  <c r="F72" i="1"/>
  <c r="E72" i="1"/>
  <c r="I71" i="1"/>
  <c r="H71" i="1"/>
  <c r="F71" i="1"/>
  <c r="E71" i="1"/>
  <c r="I70" i="1"/>
  <c r="H70" i="1"/>
  <c r="F70" i="1"/>
  <c r="E70" i="1"/>
  <c r="I69" i="1"/>
  <c r="H69" i="1"/>
  <c r="F69" i="1"/>
  <c r="E69" i="1"/>
  <c r="I68" i="1"/>
  <c r="H68" i="1"/>
  <c r="F68" i="1"/>
  <c r="E68" i="1"/>
  <c r="I67" i="1"/>
  <c r="H67" i="1"/>
  <c r="F67" i="1"/>
  <c r="E67" i="1"/>
  <c r="I66" i="1"/>
  <c r="H66" i="1"/>
  <c r="F66" i="1"/>
  <c r="E66" i="1"/>
  <c r="J65" i="1"/>
  <c r="K65" i="1" s="1"/>
  <c r="I65" i="1"/>
  <c r="H65" i="1"/>
  <c r="F65" i="1"/>
  <c r="E65" i="1"/>
  <c r="J64" i="1"/>
  <c r="K64" i="1" s="1"/>
  <c r="I64" i="1"/>
  <c r="H64" i="1"/>
  <c r="F64" i="1"/>
  <c r="E64" i="1"/>
  <c r="J63" i="1"/>
  <c r="K63" i="1" s="1"/>
  <c r="I63" i="1"/>
  <c r="H63" i="1"/>
  <c r="F63" i="1"/>
  <c r="E63" i="1"/>
  <c r="G63" i="1" s="1"/>
  <c r="J62" i="1"/>
  <c r="K62" i="1" s="1"/>
  <c r="I62" i="1"/>
  <c r="H62" i="1"/>
  <c r="F62" i="1"/>
  <c r="E62" i="1"/>
  <c r="I61" i="1"/>
  <c r="H61" i="1"/>
  <c r="F61" i="1"/>
  <c r="E61" i="1"/>
  <c r="I60" i="1"/>
  <c r="H60" i="1"/>
  <c r="F60" i="1"/>
  <c r="E60" i="1"/>
  <c r="I59" i="1"/>
  <c r="H59" i="1"/>
  <c r="F59" i="1"/>
  <c r="E59" i="1"/>
  <c r="I58" i="1"/>
  <c r="H58" i="1"/>
  <c r="F58" i="1"/>
  <c r="E58" i="1"/>
  <c r="I57" i="1"/>
  <c r="H57" i="1"/>
  <c r="F57" i="1"/>
  <c r="E57" i="1"/>
  <c r="J56" i="1"/>
  <c r="K56" i="1" s="1"/>
  <c r="I56" i="1"/>
  <c r="H56" i="1"/>
  <c r="F56" i="1"/>
  <c r="E56" i="1"/>
  <c r="I55" i="1"/>
  <c r="H55" i="1"/>
  <c r="F55" i="1"/>
  <c r="E55" i="1"/>
  <c r="I54" i="1"/>
  <c r="H54" i="1"/>
  <c r="F54" i="1"/>
  <c r="E54" i="1"/>
  <c r="I53" i="1"/>
  <c r="H53" i="1"/>
  <c r="F53" i="1"/>
  <c r="E53" i="1"/>
  <c r="I52" i="1"/>
  <c r="H52" i="1"/>
  <c r="F52" i="1"/>
  <c r="E52" i="1"/>
  <c r="J51" i="1"/>
  <c r="K51" i="1" s="1"/>
  <c r="I51" i="1"/>
  <c r="H51" i="1"/>
  <c r="F51" i="1"/>
  <c r="E51" i="1"/>
  <c r="I50" i="1"/>
  <c r="H50" i="1"/>
  <c r="F50" i="1"/>
  <c r="E50" i="1"/>
  <c r="G50" i="1" s="1"/>
  <c r="J49" i="1"/>
  <c r="K49" i="1" s="1"/>
  <c r="I49" i="1"/>
  <c r="H49" i="1"/>
  <c r="F49" i="1"/>
  <c r="E49" i="1"/>
  <c r="I48" i="1"/>
  <c r="H48" i="1"/>
  <c r="F48" i="1"/>
  <c r="E48" i="1"/>
  <c r="I47" i="1"/>
  <c r="H47" i="1"/>
  <c r="F47" i="1"/>
  <c r="E47" i="1"/>
  <c r="I46" i="1"/>
  <c r="H46" i="1"/>
  <c r="F46" i="1"/>
  <c r="E46" i="1"/>
  <c r="I45" i="1"/>
  <c r="H45" i="1"/>
  <c r="F45" i="1"/>
  <c r="E45" i="1"/>
  <c r="I44" i="1"/>
  <c r="H44" i="1"/>
  <c r="F44" i="1"/>
  <c r="E44" i="1"/>
  <c r="I43" i="1"/>
  <c r="H43" i="1"/>
  <c r="F43" i="1"/>
  <c r="E43" i="1"/>
  <c r="J42" i="1"/>
  <c r="K42" i="1" s="1"/>
  <c r="I42" i="1"/>
  <c r="H42" i="1"/>
  <c r="F42" i="1"/>
  <c r="E42" i="1"/>
  <c r="I41" i="1"/>
  <c r="H41" i="1"/>
  <c r="F41" i="1"/>
  <c r="E41" i="1"/>
  <c r="J40" i="1"/>
  <c r="K40" i="1" s="1"/>
  <c r="I40" i="1"/>
  <c r="H40" i="1"/>
  <c r="F40" i="1"/>
  <c r="E40" i="1"/>
  <c r="I39" i="1"/>
  <c r="H39" i="1"/>
  <c r="F39" i="1"/>
  <c r="E39" i="1"/>
  <c r="I38" i="1"/>
  <c r="H38" i="1"/>
  <c r="F38" i="1"/>
  <c r="E38" i="1"/>
  <c r="I37" i="1"/>
  <c r="H37" i="1"/>
  <c r="F37" i="1"/>
  <c r="E37" i="1"/>
  <c r="I36" i="1"/>
  <c r="H36" i="1"/>
  <c r="F36" i="1"/>
  <c r="E36" i="1"/>
  <c r="I35" i="1"/>
  <c r="H35" i="1"/>
  <c r="F35" i="1"/>
  <c r="E35" i="1"/>
  <c r="I34" i="1"/>
  <c r="H34" i="1"/>
  <c r="F34" i="1"/>
  <c r="E34" i="1"/>
  <c r="I33" i="1"/>
  <c r="H33" i="1"/>
  <c r="F33" i="1"/>
  <c r="E33" i="1"/>
  <c r="I32" i="1"/>
  <c r="H32" i="1"/>
  <c r="F32" i="1"/>
  <c r="E32" i="1"/>
  <c r="I31" i="1"/>
  <c r="H31" i="1"/>
  <c r="F31" i="1"/>
  <c r="E31" i="1"/>
  <c r="I30" i="1"/>
  <c r="H30" i="1"/>
  <c r="F30" i="1"/>
  <c r="E30" i="1"/>
  <c r="I29" i="1"/>
  <c r="H29" i="1"/>
  <c r="F29" i="1"/>
  <c r="E29" i="1"/>
  <c r="I28" i="1"/>
  <c r="H28" i="1"/>
  <c r="F28" i="1"/>
  <c r="E28" i="1"/>
  <c r="I27" i="1"/>
  <c r="H27" i="1"/>
  <c r="F27" i="1"/>
  <c r="E27" i="1"/>
  <c r="I26" i="1"/>
  <c r="H26" i="1"/>
  <c r="F26" i="1"/>
  <c r="E26" i="1"/>
  <c r="I25" i="1"/>
  <c r="H25" i="1"/>
  <c r="F25" i="1"/>
  <c r="E25" i="1"/>
  <c r="I24" i="1"/>
  <c r="H24" i="1"/>
  <c r="F24" i="1"/>
  <c r="E24" i="1"/>
  <c r="I23" i="1"/>
  <c r="H23" i="1"/>
  <c r="F23" i="1"/>
  <c r="E23" i="1"/>
  <c r="J22" i="1"/>
  <c r="K22" i="1" s="1"/>
  <c r="I22" i="1"/>
  <c r="H22" i="1"/>
  <c r="F22" i="1"/>
  <c r="E22" i="1"/>
  <c r="J21" i="1"/>
  <c r="K21" i="1" s="1"/>
  <c r="I21" i="1"/>
  <c r="H21" i="1"/>
  <c r="F21" i="1"/>
  <c r="E21" i="1"/>
  <c r="J20" i="1"/>
  <c r="K20" i="1" s="1"/>
  <c r="I20" i="1"/>
  <c r="H20" i="1"/>
  <c r="F20" i="1"/>
  <c r="E20" i="1"/>
  <c r="I19" i="1"/>
  <c r="H19" i="1"/>
  <c r="F19" i="1"/>
  <c r="E19" i="1"/>
  <c r="I18" i="1"/>
  <c r="H18" i="1"/>
  <c r="F18" i="1"/>
  <c r="E18" i="1"/>
  <c r="I17" i="1"/>
  <c r="H17" i="1"/>
  <c r="F17" i="1"/>
  <c r="E17" i="1"/>
  <c r="I16" i="1"/>
  <c r="H16" i="1"/>
  <c r="F16" i="1"/>
  <c r="E16" i="1"/>
  <c r="I15" i="1"/>
  <c r="H15" i="1"/>
  <c r="F15" i="1"/>
  <c r="E15" i="1"/>
  <c r="I14" i="1"/>
  <c r="H14" i="1"/>
  <c r="F14" i="1"/>
  <c r="E14" i="1"/>
  <c r="J13" i="1"/>
  <c r="K13" i="1" s="1"/>
  <c r="I13" i="1"/>
  <c r="H13" i="1"/>
  <c r="F13" i="1"/>
  <c r="E13" i="1"/>
  <c r="I12" i="1"/>
  <c r="H12" i="1"/>
  <c r="F12" i="1"/>
  <c r="E12" i="1"/>
  <c r="I11" i="1"/>
  <c r="H11" i="1"/>
  <c r="F11" i="1"/>
  <c r="E11" i="1"/>
  <c r="G17" i="1" l="1"/>
  <c r="G19" i="1"/>
  <c r="G59" i="1"/>
  <c r="G61" i="1"/>
  <c r="G70" i="1"/>
  <c r="G81" i="1"/>
  <c r="G83" i="1"/>
  <c r="G85" i="1"/>
  <c r="G87" i="1"/>
  <c r="G47" i="1"/>
  <c r="G92" i="1"/>
  <c r="G13" i="1"/>
  <c r="G24" i="1"/>
  <c r="G28" i="1"/>
  <c r="G30" i="1"/>
  <c r="G32" i="1"/>
  <c r="G33" i="1"/>
  <c r="G78" i="1"/>
  <c r="G35" i="1"/>
  <c r="G27" i="1"/>
  <c r="G29" i="1"/>
  <c r="G54" i="1"/>
  <c r="G20" i="1"/>
  <c r="G60" i="1"/>
  <c r="G62" i="1"/>
  <c r="G69" i="1"/>
  <c r="G84" i="1"/>
  <c r="G88" i="1"/>
  <c r="J57" i="1"/>
  <c r="K57" i="1" s="1"/>
  <c r="G34" i="1"/>
  <c r="G36" i="1"/>
  <c r="G53" i="1"/>
  <c r="G71" i="1"/>
  <c r="G16" i="1"/>
  <c r="G42" i="1"/>
  <c r="G55" i="1"/>
  <c r="J18" i="1"/>
  <c r="K18" i="1" s="1"/>
  <c r="J26" i="1"/>
  <c r="J77" i="1"/>
  <c r="K77" i="1" s="1"/>
  <c r="J86" i="1"/>
  <c r="K86" i="1" s="1"/>
  <c r="J37" i="1"/>
  <c r="K37" i="1" s="1"/>
  <c r="J80" i="1"/>
  <c r="K80" i="1" s="1"/>
  <c r="J25" i="1"/>
  <c r="K25" i="1" s="1"/>
  <c r="J58" i="1"/>
  <c r="K58" i="1" s="1"/>
  <c r="J66" i="1"/>
  <c r="K66" i="1" s="1"/>
  <c r="J74" i="1"/>
  <c r="K74" i="1" s="1"/>
  <c r="J67" i="1"/>
  <c r="K67" i="1" s="1"/>
  <c r="J12" i="1"/>
  <c r="K12" i="1" s="1"/>
  <c r="J79" i="1"/>
  <c r="K79" i="1" s="1"/>
  <c r="B6" i="1"/>
  <c r="B8" i="1" s="1"/>
  <c r="J14" i="1"/>
  <c r="K14" i="1" s="1"/>
  <c r="G23" i="1"/>
  <c r="G31" i="1"/>
  <c r="G39" i="1"/>
  <c r="G44" i="1"/>
  <c r="G48" i="1"/>
  <c r="G64" i="1"/>
  <c r="G72" i="1"/>
  <c r="G52" i="1"/>
  <c r="G68" i="1"/>
  <c r="G96" i="1"/>
  <c r="G91" i="1"/>
  <c r="G90" i="1"/>
  <c r="G89" i="1"/>
  <c r="G82" i="1"/>
  <c r="G77" i="1"/>
  <c r="G76" i="1"/>
  <c r="G73" i="1"/>
  <c r="G65" i="1"/>
  <c r="G56" i="1"/>
  <c r="G51" i="1"/>
  <c r="G49" i="1"/>
  <c r="G43" i="1"/>
  <c r="G40" i="1"/>
  <c r="G38" i="1"/>
  <c r="G22" i="1"/>
  <c r="G15" i="1"/>
  <c r="G14" i="1"/>
  <c r="G41" i="1"/>
  <c r="G21" i="1"/>
  <c r="G45" i="1"/>
  <c r="G86" i="1"/>
  <c r="G46" i="1"/>
  <c r="J47" i="1"/>
  <c r="K47" i="1" s="1"/>
  <c r="J46" i="1"/>
  <c r="G80" i="1"/>
  <c r="G79" i="1"/>
  <c r="K75" i="1"/>
  <c r="G75" i="1"/>
  <c r="G74" i="1"/>
  <c r="G67" i="1"/>
  <c r="G66" i="1"/>
  <c r="G58" i="1"/>
  <c r="G57" i="1"/>
  <c r="G37" i="1"/>
  <c r="K26" i="1"/>
  <c r="G26" i="1"/>
  <c r="G25" i="1"/>
  <c r="G18" i="1"/>
  <c r="G12" i="1"/>
  <c r="K11" i="1"/>
  <c r="G11" i="1"/>
  <c r="K46" i="1" l="1"/>
</calcChain>
</file>

<file path=xl/sharedStrings.xml><?xml version="1.0" encoding="utf-8"?>
<sst xmlns="http://schemas.openxmlformats.org/spreadsheetml/2006/main" count="2173" uniqueCount="596">
  <si>
    <t>HCM4 – KH BQ tháng ≥20 triệu đang gắn F2/F4</t>
  </si>
  <si>
    <t>Tổng hợp NPP → Sup → DDKD; không cộng chồng các cấp. Đề xuất nâng lịch F8 theo T+3.</t>
  </si>
  <si>
    <t>Số KH</t>
  </si>
  <si>
    <t>BQ tháng nhóm (triệu)</t>
  </si>
  <si>
    <t>BQ tháng HCM4 (triệu)</t>
  </si>
  <si>
    <t>Đóng góp BQ tháng HCM4</t>
  </si>
  <si>
    <t>Cấp</t>
  </si>
  <si>
    <t>NPP</t>
  </si>
  <si>
    <t>Sup</t>
  </si>
  <si>
    <t>DDKD</t>
  </si>
  <si>
    <t>F2 (KH)</t>
  </si>
  <si>
    <t>F4 (KH)</t>
  </si>
  <si>
    <t>Tổng KH</t>
  </si>
  <si>
    <t>Trước RS (KH)</t>
  </si>
  <si>
    <t>Sau RS (KH)</t>
  </si>
  <si>
    <t>BQ tháng (triệu)</t>
  </si>
  <si>
    <t>% BQ HCM4</t>
  </si>
  <si>
    <t>Châu Gia Việt</t>
  </si>
  <si>
    <t>Lê Hoàng Nguyên</t>
  </si>
  <si>
    <t>Lê Hoàng Thanh Bảo</t>
  </si>
  <si>
    <t>Mai Thị Bé Diệu</t>
  </si>
  <si>
    <t>Phạm Thanh Trường</t>
  </si>
  <si>
    <t>Trịnh Văn Minh</t>
  </si>
  <si>
    <t>Đinh Công Truyền</t>
  </si>
  <si>
    <t>Phan Long Hoàng</t>
  </si>
  <si>
    <t>Huỳnh Thu Thuyền</t>
  </si>
  <si>
    <t>Lê Hùng Đức</t>
  </si>
  <si>
    <t>Nguyễn Phước Tài</t>
  </si>
  <si>
    <t>Nguyễn Thị Kim Xuyến</t>
  </si>
  <si>
    <t>Nguyễn Văn Sinh</t>
  </si>
  <si>
    <t>Đỗ Hồng Phúc</t>
  </si>
  <si>
    <t>Minh Phát Thành</t>
  </si>
  <si>
    <t>Lê Thanh Thông</t>
  </si>
  <si>
    <t>Danh Kiệt</t>
  </si>
  <si>
    <t>Lê Võ Nghĩa</t>
  </si>
  <si>
    <t>Lưu Thị Hạnh Nguyên</t>
  </si>
  <si>
    <t>Nguyễn Bảo Duy</t>
  </si>
  <si>
    <t>Nguyễn Thái Dương</t>
  </si>
  <si>
    <t>Nguyễn Thị Thanh Nhàn</t>
  </si>
  <si>
    <t>Nguyễn Thị Thanh Thúy</t>
  </si>
  <si>
    <t>Nguyễn Thị Ánh Trinh</t>
  </si>
  <si>
    <t>Nguyễn Văn Vương</t>
  </si>
  <si>
    <t>Trương Hoàng Việt</t>
  </si>
  <si>
    <t>Nguyễn Thị Tường Vy</t>
  </si>
  <si>
    <t>Huỳnh Hữu Chính</t>
  </si>
  <si>
    <t>Lê Tấn Cường</t>
  </si>
  <si>
    <t>Lý Quốc Mẫn</t>
  </si>
  <si>
    <t>Nguyễn Tấn Trung</t>
  </si>
  <si>
    <t>Nguyễn Tấn Tài</t>
  </si>
  <si>
    <t>Nguyễn Tấn Tươi</t>
  </si>
  <si>
    <t>Trần Đình Cường</t>
  </si>
  <si>
    <t>Đinh Ngọc Thông</t>
  </si>
  <si>
    <t>Trương Thanh Tân</t>
  </si>
  <si>
    <t>Huỳnh Tấn Lý</t>
  </si>
  <si>
    <t>Hàng Thanh Lộc</t>
  </si>
  <si>
    <t>Lê Thị Thơm</t>
  </si>
  <si>
    <t>Mai Thị Linh</t>
  </si>
  <si>
    <t>Nguyễn Trần Bảo Long</t>
  </si>
  <si>
    <t>Nguyễn Văn Đình Chương</t>
  </si>
  <si>
    <t>Ngô Nguyễn Cao Kỳ</t>
  </si>
  <si>
    <t>Trương Hoàng Giang</t>
  </si>
  <si>
    <t>Trần Minh Thành</t>
  </si>
  <si>
    <t>Trần Tấn Tài</t>
  </si>
  <si>
    <t>Quang Vinh Phát</t>
  </si>
  <si>
    <t>Lê Đăng Khoa</t>
  </si>
  <si>
    <t>Bùi Ngọc Sánh</t>
  </si>
  <si>
    <t>Lê Thị Tình</t>
  </si>
  <si>
    <t>Ngô Quí Long</t>
  </si>
  <si>
    <t>Trần Văn Toản</t>
  </si>
  <si>
    <t>Vacant đang tuyển 4810</t>
  </si>
  <si>
    <t>Vacant đang tuyển 4818</t>
  </si>
  <si>
    <t>Vacant đang tuyển 4821</t>
  </si>
  <si>
    <t>Quang Vinh Phát MTV</t>
  </si>
  <si>
    <t>Lê Minh Chiến</t>
  </si>
  <si>
    <t>Lê Ngọc Bảo</t>
  </si>
  <si>
    <t>Lê Văn Minh Thuận</t>
  </si>
  <si>
    <t>Nguyễn Chí Nguyên</t>
  </si>
  <si>
    <t>Nguyễn Lê Quốc Anh</t>
  </si>
  <si>
    <t>Phùng Minh Trí</t>
  </si>
  <si>
    <t>Đoàn Thị Hoàng Ngọc</t>
  </si>
  <si>
    <t>Trịnh Thanh Hà</t>
  </si>
  <si>
    <t>Kiều Trí Thịnh</t>
  </si>
  <si>
    <t>Lê Thị Mai Hạnh</t>
  </si>
  <si>
    <t>Nguyễn Phúc Bảo Hiền</t>
  </si>
  <si>
    <t>Nguyễn Văn Lệ</t>
  </si>
  <si>
    <t>Đại Quang Vinh</t>
  </si>
  <si>
    <t>Lương Đình Hào</t>
  </si>
  <si>
    <t>Lê Thị Bình</t>
  </si>
  <si>
    <t>Lê Thị Thường</t>
  </si>
  <si>
    <t>Phùng Việt Dũng</t>
  </si>
  <si>
    <t>Võ Thị Cẩm Nhung</t>
  </si>
  <si>
    <t>Đỗ Trọng Nghĩa</t>
  </si>
  <si>
    <t>Trần Minh Hải</t>
  </si>
  <si>
    <t>Bạch Thị Thanh Thúy</t>
  </si>
  <si>
    <t>Cao Thị Vân Anh</t>
  </si>
  <si>
    <t>Lê Quang Hải</t>
  </si>
  <si>
    <t>Mai Công Danh</t>
  </si>
  <si>
    <t>Nguyễn Phương Thắng</t>
  </si>
  <si>
    <t>Nguyễn Thành Châu</t>
  </si>
  <si>
    <t>Thái Xuân Đông</t>
  </si>
  <si>
    <t>Trần Thanh Phúc</t>
  </si>
  <si>
    <t>Vũ Chí Công</t>
  </si>
  <si>
    <t>Đào Văn Sơn</t>
  </si>
  <si>
    <t>F8: ngày hiện tại + ngày T+3, thực hiện cả tuần chẵn và tuần lẻ.</t>
  </si>
  <si>
    <t>T2↔T5; T3↔T6; T4↔T7. F2 chuyển F8 cần thêm visit ở tuần chưa có lịch.</t>
  </si>
  <si>
    <t>Trước RS: tạo trước 01/07/2026; sau RS: từ 01/07/2026.</t>
  </si>
  <si>
    <t>Nguồn MCP gửi 23/09; lịch này là đề xuất triển khai, chưa cập nhật MCP.</t>
  </si>
  <si>
    <t>POS</t>
  </si>
  <si>
    <t>Mã KH</t>
  </si>
  <si>
    <t>Tên KH</t>
  </si>
  <si>
    <t>Tần suất hiện tại</t>
  </si>
  <si>
    <t>Sales 3M (triệu)</t>
  </si>
  <si>
    <t>Nhóm RS</t>
  </si>
  <si>
    <t>Created_date</t>
  </si>
  <si>
    <t>Kênh</t>
  </si>
  <si>
    <t>VIP MCH</t>
  </si>
  <si>
    <t>Tuần hiện tại</t>
  </si>
  <si>
    <t>Ngày VT bổ sung T+3</t>
  </si>
  <si>
    <t>Tần suất đề xuất</t>
  </si>
  <si>
    <t>Phường/Xã</t>
  </si>
  <si>
    <t>Địa chỉ</t>
  </si>
  <si>
    <t>Tuần đề xuất</t>
  </si>
  <si>
    <t>F4</t>
  </si>
  <si>
    <t>Trước RS</t>
  </si>
  <si>
    <t>Kênh Off Premise</t>
  </si>
  <si>
    <t>VIP5</t>
  </si>
  <si>
    <t>T7</t>
  </si>
  <si>
    <t>Both</t>
  </si>
  <si>
    <t>T4</t>
  </si>
  <si>
    <t>F8</t>
  </si>
  <si>
    <t>VIP3</t>
  </si>
  <si>
    <t>T6</t>
  </si>
  <si>
    <t>T3</t>
  </si>
  <si>
    <t>2014-10-06</t>
  </si>
  <si>
    <t>T5</t>
  </si>
  <si>
    <t>T2</t>
  </si>
  <si>
    <t>F2</t>
  </si>
  <si>
    <t>Sau RS</t>
  </si>
  <si>
    <t>Kênh On Premise</t>
  </si>
  <si>
    <t>LẺ</t>
  </si>
  <si>
    <t>Odd Week</t>
  </si>
  <si>
    <t>2026-06-19</t>
  </si>
  <si>
    <t>2014-09-03</t>
  </si>
  <si>
    <t>2015-01-10</t>
  </si>
  <si>
    <t>Quỳnh Như</t>
  </si>
  <si>
    <t>Anh Đào</t>
  </si>
  <si>
    <t>ÁNH DƯƠNG</t>
  </si>
  <si>
    <t>2025-07-16</t>
  </si>
  <si>
    <t>2025-07-09</t>
  </si>
  <si>
    <t>Even Week</t>
  </si>
  <si>
    <t>SM-FM-10KF3761.06</t>
  </si>
  <si>
    <t>3046451</t>
  </si>
  <si>
    <t>Công Ty Stella</t>
  </si>
  <si>
    <t>2024-07-23</t>
  </si>
  <si>
    <t>P. An Phú (TP. Hồ Chí Minh)</t>
  </si>
  <si>
    <t>40, Đại Lộ Tự Do</t>
  </si>
  <si>
    <t>SM-FM-10KF3761.16</t>
  </si>
  <si>
    <t>3073841</t>
  </si>
  <si>
    <t>Tạp Hóa Yến Nhung</t>
  </si>
  <si>
    <t>2024-10-04</t>
  </si>
  <si>
    <t>P. Thuận Giao</t>
  </si>
  <si>
    <t>Kế Nhà 38a, Đường Na 12</t>
  </si>
  <si>
    <t>SM-FM-10KF3761.13</t>
  </si>
  <si>
    <t>5906</t>
  </si>
  <si>
    <t>Thái Ngọc</t>
  </si>
  <si>
    <t>P. Bình Hòa</t>
  </si>
  <si>
    <t>3/20, Nguyễn Du</t>
  </si>
  <si>
    <t>SM-FM-10KF3761.14</t>
  </si>
  <si>
    <t>2017721</t>
  </si>
  <si>
    <t>2015-04-20</t>
  </si>
  <si>
    <t>H4, Chợ khu dân cư Minh Tuấn</t>
  </si>
  <si>
    <t>SM-FM-10KF3761.09</t>
  </si>
  <si>
    <t>348563</t>
  </si>
  <si>
    <t>27A11, Khu Phố 3, Khu Dân Cư An Phú</t>
  </si>
  <si>
    <t>SM-FM-10KF3761.22</t>
  </si>
  <si>
    <t>3041126</t>
  </si>
  <si>
    <t>2024-07-09</t>
  </si>
  <si>
    <t>24/11 ĐT 743, KP Bình Phú</t>
  </si>
  <si>
    <t>2026-06-04</t>
  </si>
  <si>
    <t>2025-12-15</t>
  </si>
  <si>
    <t>2025-09-29</t>
  </si>
  <si>
    <t>2026-06-05</t>
  </si>
  <si>
    <t>2025-10-20</t>
  </si>
  <si>
    <t>2025-10-28</t>
  </si>
  <si>
    <t>2025-10-06</t>
  </si>
  <si>
    <t>2025-10-01</t>
  </si>
  <si>
    <t>2025-07-21</t>
  </si>
  <si>
    <t>2025-08-18</t>
  </si>
  <si>
    <t>2025-11-11</t>
  </si>
  <si>
    <t>2025-09-04</t>
  </si>
  <si>
    <t>2025-09-10</t>
  </si>
  <si>
    <t>2025-07-22</t>
  </si>
  <si>
    <t>2025-10-08</t>
  </si>
  <si>
    <t>2026-06-12</t>
  </si>
  <si>
    <t>2025-07-10</t>
  </si>
  <si>
    <t>2025-09-11</t>
  </si>
  <si>
    <t>2025-08-19</t>
  </si>
  <si>
    <t>2025-09-08</t>
  </si>
  <si>
    <t>2025-10-03</t>
  </si>
  <si>
    <t>2025-11-19</t>
  </si>
  <si>
    <t>2025-07-11</t>
  </si>
  <si>
    <t>2025-10-30</t>
  </si>
  <si>
    <t>2026-05-29</t>
  </si>
  <si>
    <t>2026-06-08</t>
  </si>
  <si>
    <t>2025-11-07</t>
  </si>
  <si>
    <t>Tạp Hoá Bà Năm</t>
  </si>
  <si>
    <t>2025-09-15</t>
  </si>
  <si>
    <t>2025-07-07</t>
  </si>
  <si>
    <t>Chị Diễm</t>
  </si>
  <si>
    <t>ngọc ánh</t>
  </si>
  <si>
    <t>2025-07-18</t>
  </si>
  <si>
    <t>Tạp Hóa Dung</t>
  </si>
  <si>
    <t>2025-07-25</t>
  </si>
  <si>
    <t>2025-10-31</t>
  </si>
  <si>
    <t>2025-10-16</t>
  </si>
  <si>
    <t>2026-06-22</t>
  </si>
  <si>
    <t>2025-10-09</t>
  </si>
  <si>
    <t>2025-09-23</t>
  </si>
  <si>
    <t>999257698</t>
  </si>
  <si>
    <t>CHỊ LÝ</t>
  </si>
  <si>
    <t>Ô07, D9</t>
  </si>
  <si>
    <t>Lê Thiện An</t>
  </si>
  <si>
    <t>SM-FM-10KF3761.05</t>
  </si>
  <si>
    <t>99997541</t>
  </si>
  <si>
    <t>Nước Ép Trái Cây</t>
  </si>
  <si>
    <t>2025-08-25</t>
  </si>
  <si>
    <t>P. Lái Thiêu</t>
  </si>
  <si>
    <t>141/5, Phan Đình Phùng</t>
  </si>
  <si>
    <t>3062283</t>
  </si>
  <si>
    <t>Cà Phê Thu Thảo</t>
  </si>
  <si>
    <t>2024-08-28</t>
  </si>
  <si>
    <t>32B, Cách Mạng Tháng 8</t>
  </si>
  <si>
    <t>Lê Thị Kim Thoa</t>
  </si>
  <si>
    <t>SM-FM-10KF3761.18</t>
  </si>
  <si>
    <t>999752303</t>
  </si>
  <si>
    <t>Tạp Hóa Cô Sương</t>
  </si>
  <si>
    <t>Đối Diện Lẩu Bò Ngã 4 Hòa Lân, Thủ Khoa Huân</t>
  </si>
  <si>
    <t>999227317</t>
  </si>
  <si>
    <t>Cô Minh</t>
  </si>
  <si>
    <t>34, Thuận Giao 33</t>
  </si>
  <si>
    <t>999752031</t>
  </si>
  <si>
    <t>Nhà Trọ Cô Hương Chú Phúc</t>
  </si>
  <si>
    <t>2026-06-10</t>
  </si>
  <si>
    <t>4/5, 22/12</t>
  </si>
  <si>
    <t>999750579</t>
  </si>
  <si>
    <t>Trà Sữa Cô Phượng</t>
  </si>
  <si>
    <t>1A/9, Thuận Giao 16</t>
  </si>
  <si>
    <t>99924117</t>
  </si>
  <si>
    <t>Chị Giang</t>
  </si>
  <si>
    <t>02, KCN. Việt Hương</t>
  </si>
  <si>
    <t>999375182</t>
  </si>
  <si>
    <t>Hưng Vân</t>
  </si>
  <si>
    <t>2026-01-05</t>
  </si>
  <si>
    <t>44, Hẻm QL13</t>
  </si>
  <si>
    <t>999751648</t>
  </si>
  <si>
    <t>Cafe Giải Khát Chợ Đêm Hòa Lân</t>
  </si>
  <si>
    <t>chợ đêm hòa lân, chợ đêm hòa lân</t>
  </si>
  <si>
    <t>999161097</t>
  </si>
  <si>
    <t>Tạp Hóa Cô Bình</t>
  </si>
  <si>
    <t>4, Hòa Lân 1</t>
  </si>
  <si>
    <t>999754422</t>
  </si>
  <si>
    <t>Tạp Hóa Trung Liên</t>
  </si>
  <si>
    <t>2026-07-02</t>
  </si>
  <si>
    <t>Cạnh đường Thuận Giao 26, Đại Lộ Bình Dương</t>
  </si>
  <si>
    <t>99943442</t>
  </si>
  <si>
    <t>Thanh Thảo</t>
  </si>
  <si>
    <t>32, Thuận Giao 09</t>
  </si>
  <si>
    <t>99928120</t>
  </si>
  <si>
    <t>Cô Linh</t>
  </si>
  <si>
    <t>4/5, Thuận Giao 14</t>
  </si>
  <si>
    <t>99937726</t>
  </si>
  <si>
    <t>Cô Thơm</t>
  </si>
  <si>
    <t>2/23, Thủ Khoa Huân</t>
  </si>
  <si>
    <t>95950</t>
  </si>
  <si>
    <t>Kim Thoa</t>
  </si>
  <si>
    <t>2/179, Thủ Khoa Huân</t>
  </si>
  <si>
    <t>999753041</t>
  </si>
  <si>
    <t>Tạp Hóa Taho</t>
  </si>
  <si>
    <t>Ô 10 DC64, D1</t>
  </si>
  <si>
    <t>999178261</t>
  </si>
  <si>
    <t>TH Ngọc Trâm</t>
  </si>
  <si>
    <t>77/66, NA11</t>
  </si>
  <si>
    <t>999752879</t>
  </si>
  <si>
    <t>Tạp Hóa Bom</t>
  </si>
  <si>
    <t>2026-06-16</t>
  </si>
  <si>
    <t>36, NA3</t>
  </si>
  <si>
    <t>99934590</t>
  </si>
  <si>
    <t>Công Ty KN &amp; TC</t>
  </si>
  <si>
    <t>Ô 61, NA5</t>
  </si>
  <si>
    <t>999302179</t>
  </si>
  <si>
    <t>Bách Hoá Tổng Hợp An Nhàn</t>
  </si>
  <si>
    <t>2025-11-14</t>
  </si>
  <si>
    <t>ô 30, NA4</t>
  </si>
  <si>
    <t>999121721</t>
  </si>
  <si>
    <t>TH PHương Linh</t>
  </si>
  <si>
    <t>47, Thuận  Giao 31</t>
  </si>
  <si>
    <t>999328642</t>
  </si>
  <si>
    <t>TH Thuận</t>
  </si>
  <si>
    <t>2025-12-03</t>
  </si>
  <si>
    <t>42, NA12</t>
  </si>
  <si>
    <t>999138962</t>
  </si>
  <si>
    <t>TH Quốc Dương</t>
  </si>
  <si>
    <t>1/DC78, NA12</t>
  </si>
  <si>
    <t>999251133</t>
  </si>
  <si>
    <t>TH Kim Oanh 1</t>
  </si>
  <si>
    <t>dc75/29, NA9 chợ 78 79</t>
  </si>
  <si>
    <t>999304390</t>
  </si>
  <si>
    <t>TH Tường VY</t>
  </si>
  <si>
    <t>2025-11-15</t>
  </si>
  <si>
    <t>3C/50H, Bình Hoà 11</t>
  </si>
  <si>
    <t>999103980</t>
  </si>
  <si>
    <t>Tạp Hoá Quang Tùng</t>
  </si>
  <si>
    <t>3/35, Bình Đức 2</t>
  </si>
  <si>
    <t>999166858</t>
  </si>
  <si>
    <t>TH Mỹ Phẩm Thùy Linh</t>
  </si>
  <si>
    <t>21D3 kdc đồng an, KCN đồng an 3</t>
  </si>
  <si>
    <t>999109852</t>
  </si>
  <si>
    <t>Tạp Hoá Trà Sữa 73</t>
  </si>
  <si>
    <t>Trường Học Bình hòa 2, Bình Đức 1</t>
  </si>
  <si>
    <t>999199983</t>
  </si>
  <si>
    <t>Tạp Hoá Cô Nhung</t>
  </si>
  <si>
    <t>79E/18, KDC Chợ 433</t>
  </si>
  <si>
    <t>999355276</t>
  </si>
  <si>
    <t>TH Chị Thuỷ</t>
  </si>
  <si>
    <t>7A/4B, Bình hòa 11 kế năm nhớ</t>
  </si>
  <si>
    <t>99923704</t>
  </si>
  <si>
    <t>Tạp Hóa Chị Cúc</t>
  </si>
  <si>
    <t>178L/434/21, Đường 434</t>
  </si>
  <si>
    <t>Nguyễn Hữu Cường</t>
  </si>
  <si>
    <t>SM-FM-10KF3761.12</t>
  </si>
  <si>
    <t>99943245</t>
  </si>
  <si>
    <t>Thanh Bình</t>
  </si>
  <si>
    <t>8/12/16, Bình Hòa 25</t>
  </si>
  <si>
    <t>999325757</t>
  </si>
  <si>
    <t>Minh Hưng</t>
  </si>
  <si>
    <t>2025-11-28</t>
  </si>
  <si>
    <t>31/1, DT734</t>
  </si>
  <si>
    <t>999166860</t>
  </si>
  <si>
    <t>TH Hoàng Hương</t>
  </si>
  <si>
    <t>21/3, BH 25</t>
  </si>
  <si>
    <t>999302834</t>
  </si>
  <si>
    <t>Cô Tư</t>
  </si>
  <si>
    <t>35/3 Nhà trọ Bà Tư, Cuối đường Bình hoà 20</t>
  </si>
  <si>
    <t>999133977</t>
  </si>
  <si>
    <t>Tạp Hóa Trang</t>
  </si>
  <si>
    <t>24/2, Bình Hòa 24</t>
  </si>
  <si>
    <t>999259765</t>
  </si>
  <si>
    <t>Cô Mùa</t>
  </si>
  <si>
    <t>2025-11-01</t>
  </si>
  <si>
    <t>ki ốt 2, 71</t>
  </si>
  <si>
    <t>999476951</t>
  </si>
  <si>
    <t>Cà Phê 79</t>
  </si>
  <si>
    <t>2026-02-07</t>
  </si>
  <si>
    <t>8B/434/20, Khu 434</t>
  </si>
  <si>
    <t>999136835</t>
  </si>
  <si>
    <t>Mai Khuê (434)</t>
  </si>
  <si>
    <t>36M/6, Khu 434</t>
  </si>
  <si>
    <t>99940505</t>
  </si>
  <si>
    <t>Tú Trinh</t>
  </si>
  <si>
    <t>1/5A6, Kp Bình Đáng</t>
  </si>
  <si>
    <t>99990542</t>
  </si>
  <si>
    <t>Thúy Nga</t>
  </si>
  <si>
    <t>6F, Nguyễn Du</t>
  </si>
  <si>
    <t>999124344</t>
  </si>
  <si>
    <t>Giang Sỹ</t>
  </si>
  <si>
    <t>56/8, Khu 434</t>
  </si>
  <si>
    <t>99996146</t>
  </si>
  <si>
    <t>Thu Hà ( Khu Minh Tuấn)</t>
  </si>
  <si>
    <t>2025-08-22</t>
  </si>
  <si>
    <t>10/5A3, Kp Bình Đáng</t>
  </si>
  <si>
    <t>Nguyễn Phước Hậu</t>
  </si>
  <si>
    <t>SM-FM-10KF3761.21</t>
  </si>
  <si>
    <t>999753548</t>
  </si>
  <si>
    <t>Bếp Minh Sơn</t>
  </si>
  <si>
    <t>19/18, Thủ Khoa Huân</t>
  </si>
  <si>
    <t>99946360</t>
  </si>
  <si>
    <t>Tạp Hóa Linh Nguyễn</t>
  </si>
  <si>
    <t>19/9, Bình Chuẩn 19</t>
  </si>
  <si>
    <t>99925973</t>
  </si>
  <si>
    <t>Quán Nước Chị Loan</t>
  </si>
  <si>
    <t>4/2, 743</t>
  </si>
  <si>
    <t>Nguyễn Văn Hận</t>
  </si>
  <si>
    <t>SM-FM-10KF3761.02</t>
  </si>
  <si>
    <t>999728681</t>
  </si>
  <si>
    <t>Tạp Hóa Hoài Thanh</t>
  </si>
  <si>
    <t>2026-04-15</t>
  </si>
  <si>
    <t>P. Thuận An (TP. Hồ Chí Minh)</t>
  </si>
  <si>
    <t>198, Chòm Sao</t>
  </si>
  <si>
    <t>99950990</t>
  </si>
  <si>
    <t>Tạp Hóa Gạo Hà My</t>
  </si>
  <si>
    <t>2025-07-29</t>
  </si>
  <si>
    <t>278, Hồ Văn Mên</t>
  </si>
  <si>
    <t>999126351</t>
  </si>
  <si>
    <t>Tạp Hóa Ngọc Nguyên</t>
  </si>
  <si>
    <t>14A/1, CMT8</t>
  </si>
  <si>
    <t>99991318</t>
  </si>
  <si>
    <t>Tạp Hóa Xuân Liên</t>
  </si>
  <si>
    <t>164/3, Hồ Văn Mên</t>
  </si>
  <si>
    <t>99928187</t>
  </si>
  <si>
    <t>Cà Phê 178</t>
  </si>
  <si>
    <t>252, Hồ Vân Mên</t>
  </si>
  <si>
    <t>999290605</t>
  </si>
  <si>
    <t>Tạp Hóa Diệu</t>
  </si>
  <si>
    <t>5/2, N12</t>
  </si>
  <si>
    <t>Nguyễn Văn Tợn</t>
  </si>
  <si>
    <t>SM-FM-10KF3761.23</t>
  </si>
  <si>
    <t>99918119</t>
  </si>
  <si>
    <t>Tạp hóa Ngọc Ánh</t>
  </si>
  <si>
    <t>A139G, Bình Nhâm 83</t>
  </si>
  <si>
    <t>99919747</t>
  </si>
  <si>
    <t>Tạp Hóa Năm Cường</t>
  </si>
  <si>
    <t>40C1, Nguyễn Hữu Cảnh</t>
  </si>
  <si>
    <t>999106051</t>
  </si>
  <si>
    <t>Tạp hóa Duyên</t>
  </si>
  <si>
    <t>A2, Cây Me</t>
  </si>
  <si>
    <t>999736706</t>
  </si>
  <si>
    <t>Anh Liêm</t>
  </si>
  <si>
    <t>2026-04-22</t>
  </si>
  <si>
    <t>00, Bế Văn Đàn</t>
  </si>
  <si>
    <t>999171648</t>
  </si>
  <si>
    <t>Hậu Giang</t>
  </si>
  <si>
    <t>C18E, Nguyễn Chí Thanh</t>
  </si>
  <si>
    <t>Phan Thúy Vân</t>
  </si>
  <si>
    <t>SM-FM-10KF3761.11</t>
  </si>
  <si>
    <t>999123500</t>
  </si>
  <si>
    <t>Tạp hóa mai</t>
  </si>
  <si>
    <t>689, Bình hòa 05</t>
  </si>
  <si>
    <t>999138935</t>
  </si>
  <si>
    <t>Chị Huyền</t>
  </si>
  <si>
    <t>39B/5, Bình hoà 22</t>
  </si>
  <si>
    <t>999255739</t>
  </si>
  <si>
    <t>Đệ Nhất Quán</t>
  </si>
  <si>
    <t>38H4, Vp 10</t>
  </si>
  <si>
    <t>999123527</t>
  </si>
  <si>
    <t>Hoàng Anh</t>
  </si>
  <si>
    <t>687, Bình hòa 05</t>
  </si>
  <si>
    <t>999250523</t>
  </si>
  <si>
    <t>4/6, Bình hòa 23</t>
  </si>
  <si>
    <t>99939134</t>
  </si>
  <si>
    <t>Như Bình</t>
  </si>
  <si>
    <t>51B, Bình hòa 04</t>
  </si>
  <si>
    <t>999524392</t>
  </si>
  <si>
    <t>Coffee Chí Tài</t>
  </si>
  <si>
    <t>2026-02-12</t>
  </si>
  <si>
    <t>34A, Vĩnh Phú 01</t>
  </si>
  <si>
    <t>999273942</t>
  </si>
  <si>
    <t>Chị Kiều</t>
  </si>
  <si>
    <t>Ngã 4, D3</t>
  </si>
  <si>
    <t>999370188</t>
  </si>
  <si>
    <t>Tạp Hoá Phong</t>
  </si>
  <si>
    <t>2025-12-23</t>
  </si>
  <si>
    <t>113/3, DT743</t>
  </si>
  <si>
    <t>999176918</t>
  </si>
  <si>
    <t>TH Chị Ái</t>
  </si>
  <si>
    <t>29 DT743, An Phú 28</t>
  </si>
  <si>
    <t>999130671</t>
  </si>
  <si>
    <t>Hà Thúy</t>
  </si>
  <si>
    <t>2025-09-12</t>
  </si>
  <si>
    <t>6A/6, X4</t>
  </si>
  <si>
    <t>99923635</t>
  </si>
  <si>
    <t>Thái Trường</t>
  </si>
  <si>
    <t>219F/3, Đường An Phú 12</t>
  </si>
  <si>
    <t>999367792</t>
  </si>
  <si>
    <t>170/5, An Phú 29</t>
  </si>
  <si>
    <t>Phạm Quang Thùy Dương</t>
  </si>
  <si>
    <t>SM-FM-10KF3761.04</t>
  </si>
  <si>
    <t>99913695</t>
  </si>
  <si>
    <t>Đăng Khôi</t>
  </si>
  <si>
    <t>2025-07-04</t>
  </si>
  <si>
    <t>12b, Lái Thiêu 01</t>
  </si>
  <si>
    <t>99926177</t>
  </si>
  <si>
    <t>55, Lái Thiêu 01</t>
  </si>
  <si>
    <t>999136608</t>
  </si>
  <si>
    <t>Tạp Hoá Cô Hồng</t>
  </si>
  <si>
    <t>88, Lái Thiêu 27 Khu Phố Đông Tư</t>
  </si>
  <si>
    <t>Phạm Thị Kim Linh</t>
  </si>
  <si>
    <t>SM-FM-10KF3761.15</t>
  </si>
  <si>
    <t>999107277</t>
  </si>
  <si>
    <t>Ngọc Bảo Phát</t>
  </si>
  <si>
    <t>2025-09-05</t>
  </si>
  <si>
    <t>1/35B, Thuận an hoà</t>
  </si>
  <si>
    <t>999154623</t>
  </si>
  <si>
    <t>Quỳnh Thư</t>
  </si>
  <si>
    <t>2025-09-20</t>
  </si>
  <si>
    <t>KDC thuận giao, D8 thuận giao</t>
  </si>
  <si>
    <t>999243725</t>
  </si>
  <si>
    <t>Chị Xoa</t>
  </si>
  <si>
    <t>2025-10-23</t>
  </si>
  <si>
    <t>Thuận Giao 24, Thuận Giao 24</t>
  </si>
  <si>
    <t>999752836</t>
  </si>
  <si>
    <t>Tạp Hóa Hồng Xiêm</t>
  </si>
  <si>
    <t>2 lô D5, N6/D12</t>
  </si>
  <si>
    <t>Trần Công Thành</t>
  </si>
  <si>
    <t>SM-FM-10KF3761.19</t>
  </si>
  <si>
    <t>999131480</t>
  </si>
  <si>
    <t>Tạp Hóa Hoàng Vy</t>
  </si>
  <si>
    <t>252A/1, Bình Phước A</t>
  </si>
  <si>
    <t>99940484</t>
  </si>
  <si>
    <t>54, Bình Chuẩn 63</t>
  </si>
  <si>
    <t>999751510</t>
  </si>
  <si>
    <t>Sạp rau Loan</t>
  </si>
  <si>
    <t>Lô Gốc, Bình Chuẩn 34</t>
  </si>
  <si>
    <t>Trần Lê Anh Đức</t>
  </si>
  <si>
    <t>SM-FM-10KF3761.07</t>
  </si>
  <si>
    <t>999196004</t>
  </si>
  <si>
    <t>TH Quang Minh</t>
  </si>
  <si>
    <t>196C, An Phú 10</t>
  </si>
  <si>
    <t>3049485</t>
  </si>
  <si>
    <t>Tạp Hóa Phúc Nghi</t>
  </si>
  <si>
    <t>2024-08-02</t>
  </si>
  <si>
    <t>69 /2, ĐT 743</t>
  </si>
  <si>
    <t>99917340</t>
  </si>
  <si>
    <t>Tạp Hóa Kem Xôi</t>
  </si>
  <si>
    <t>58A, Từ Văn Phước</t>
  </si>
  <si>
    <t>3033684</t>
  </si>
  <si>
    <t>Tạp Hóa Huyền Trang</t>
  </si>
  <si>
    <t>2024-06-10</t>
  </si>
  <si>
    <t>67 B/2, DT 743</t>
  </si>
  <si>
    <t>99925772</t>
  </si>
  <si>
    <t>Khánh Linh</t>
  </si>
  <si>
    <t>283T/2, Phan Đình Giót</t>
  </si>
  <si>
    <t>99917510</t>
  </si>
  <si>
    <t>Kim Ngân</t>
  </si>
  <si>
    <t>202/1, DT743</t>
  </si>
  <si>
    <t>Trần Ngọc Trăm</t>
  </si>
  <si>
    <t>SM-FM-10KF3761.17</t>
  </si>
  <si>
    <t>999737336</t>
  </si>
  <si>
    <t>TH Kim Oanh</t>
  </si>
  <si>
    <t>2026-04-24</t>
  </si>
  <si>
    <t>Thuận Giao 19, Thuận Giao</t>
  </si>
  <si>
    <t>999316357</t>
  </si>
  <si>
    <t>tạp hóa Thảo Ngọc</t>
  </si>
  <si>
    <t>2025-11-21</t>
  </si>
  <si>
    <t>Đường D1, KDC Thuận Giao</t>
  </si>
  <si>
    <t>999356187</t>
  </si>
  <si>
    <t>TH Khánh Linh</t>
  </si>
  <si>
    <t>Đường N4, KDC Thuận Giao</t>
  </si>
  <si>
    <t>999143004</t>
  </si>
  <si>
    <t>Tạp Hoá Yến Trang</t>
  </si>
  <si>
    <t>2025-09-17</t>
  </si>
  <si>
    <t>Thuận Giao 8, Thuận Giao</t>
  </si>
  <si>
    <t>Trần Thiện Tú</t>
  </si>
  <si>
    <t>SM-FM-10KF3761.20</t>
  </si>
  <si>
    <t>999127697</t>
  </si>
  <si>
    <t>Tạp Hóa Hà Phúc</t>
  </si>
  <si>
    <t>1Y/4A, Bình Chuẩn 72</t>
  </si>
  <si>
    <t>999190011</t>
  </si>
  <si>
    <t>Tạp Hoá Gạo Kim Ngân</t>
  </si>
  <si>
    <t>30/19, Bình Chuẩn 66</t>
  </si>
  <si>
    <t>999112501</t>
  </si>
  <si>
    <t>Bách Hoá Quỳnh Phát</t>
  </si>
  <si>
    <t>74F/48, Đường N3</t>
  </si>
  <si>
    <t>999422252</t>
  </si>
  <si>
    <t>Cà Phê Thượng Uyển</t>
  </si>
  <si>
    <t>2026-01-23</t>
  </si>
  <si>
    <t>58/13, Bình Chuẩn 42</t>
  </si>
  <si>
    <t>99939490</t>
  </si>
  <si>
    <t>Tạp Hoá Vân Huy</t>
  </si>
  <si>
    <t>35D/47, N1:'</t>
  </si>
  <si>
    <t>999313713</t>
  </si>
  <si>
    <t>Tạp Hó Chị Hiền</t>
  </si>
  <si>
    <t>20/2, DT743</t>
  </si>
  <si>
    <t>999255617</t>
  </si>
  <si>
    <t>Tạp Hoá Tùng Tư</t>
  </si>
  <si>
    <t>83/20, Tân Phước Khánh 09</t>
  </si>
  <si>
    <t>Trịnh Thị Hương</t>
  </si>
  <si>
    <t>SM-FM-10KF3761.10</t>
  </si>
  <si>
    <t>999751357</t>
  </si>
  <si>
    <t>Giò Chả Chị Bằng</t>
  </si>
  <si>
    <t>24, Chu Văn An</t>
  </si>
  <si>
    <t>99920312</t>
  </si>
  <si>
    <t>Duy Hân</t>
  </si>
  <si>
    <t>1/5, Lê Thị Trung</t>
  </si>
  <si>
    <t>999314600</t>
  </si>
  <si>
    <t>Tạp Hóa Đại Vụ</t>
  </si>
  <si>
    <t>2025-11-20</t>
  </si>
  <si>
    <t>136/5, Chu Văn An</t>
  </si>
  <si>
    <t>999103045</t>
  </si>
  <si>
    <t>Tạp hóa Phương Linh</t>
  </si>
  <si>
    <t>2025-08-29</t>
  </si>
  <si>
    <t>1b, lê thị trung</t>
  </si>
  <si>
    <t>999161611</t>
  </si>
  <si>
    <t>Tạp Hóa Phước Thiện</t>
  </si>
  <si>
    <t>197/1, Lê Thị Trung</t>
  </si>
  <si>
    <t>999236511</t>
  </si>
  <si>
    <t>TH Chị Trang</t>
  </si>
  <si>
    <t>77A/5, An Phú 33</t>
  </si>
  <si>
    <t>999128529</t>
  </si>
  <si>
    <t>Tạp Hóa Khánh An</t>
  </si>
  <si>
    <t>126/26, Bình Chuẩn 15</t>
  </si>
  <si>
    <t>999749812</t>
  </si>
  <si>
    <t>Tạp Hóa Chị Vân</t>
  </si>
  <si>
    <t>2026-05-26</t>
  </si>
  <si>
    <t>02, Bình Chuẩn 15</t>
  </si>
  <si>
    <t>NGÀY VT KO TÍNH TRÁI TUYẾN</t>
  </si>
  <si>
    <t>TẦN SUẤT KO TÍNH TRÁI TUYẾN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</si>
</sst>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#,##0.0"/>
    <numFmt numFmtId="165" formatCode="_(* #,##0.0_);_(* \(#,##0.0\);_(* &quot;-&quot;_);_(@_)"/>
  </numFmts>
  <fonts count="9">
    <font>
      <sz val="11"/>
      <name val="Carlito"/>
    </font>
    <font>
      <sz val="11"/>
      <name val="Arial"/>
    </font>
    <font>
      <b/>
      <sz val="11"/>
      <name val="Arial"/>
    </font>
    <font>
      <b/>
      <sz val="16"/>
      <color rgb="FF203E62"/>
      <name val="Arial"/>
    </font>
    <font>
      <b/>
      <sz val="11"/>
      <color rgb="FFFFFFFF"/>
      <name val="Arial"/>
    </font>
    <font>
      <sz val="11"/>
      <name val="Carlito"/>
    </font>
    <font>
      <b/>
      <sz val="11"/>
      <color rgb="FFFFFFFF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E8F4"/>
      </patternFill>
    </fill>
    <fill>
      <patternFill patternType="solid">
        <fgColor rgb="FFEDF3F7"/>
      </patternFill>
    </fill>
    <fill>
      <patternFill patternType="solid">
        <fgColor rgb="FF203E62"/>
      </patternFill>
    </fill>
    <fill>
      <patternFill patternType="solid">
        <fgColor rgb="FFFFF0D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1" fontId="5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0" fontId="2" fillId="2" borderId="0" xfId="0" applyNumberFormat="1" applyFont="1" applyFill="1" applyAlignment="1">
      <alignment vertical="center"/>
    </xf>
    <xf numFmtId="10" fontId="2" fillId="3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65" fontId="6" fillId="4" borderId="1" xfId="1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vertical="center"/>
    </xf>
    <xf numFmtId="0" fontId="7" fillId="8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40">
    <dxf>
      <font>
        <color theme="1"/>
        <name val="Arial"/>
        <family val="2"/>
      </font>
      <fill>
        <patternFill patternType="solid">
          <fgColor indexed="64"/>
          <bgColor rgb="FFFFF0D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family val="2"/>
      </font>
      <fill>
        <patternFill patternType="solid">
          <fgColor indexed="64"/>
          <bgColor rgb="FFFFF0D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rgb="FFFF0000"/>
        <name val="Arial"/>
        <family val="2"/>
      </font>
      <fill>
        <patternFill patternType="solid">
          <fgColor indexed="64"/>
          <bgColor rgb="FFFFF0D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rgb="FFFF0000"/>
        <name val="Arial"/>
        <family val="2"/>
      </font>
      <fill>
        <patternFill patternType="solid">
          <fgColor theme="4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family val="2"/>
      </font>
      <numFmt numFmtId="164" formatCode="#,##0.0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family val="2"/>
      </font>
      <numFmt numFmtId="164" formatCode="#,##0.0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  <name val="Arial"/>
        <family val="2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FF0D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FF0D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  <fill>
        <patternFill patternType="solid">
          <fgColor indexed="64"/>
          <bgColor rgb="FFFFF0D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  <fill>
        <patternFill patternType="solid">
          <fgColor theme="4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#,##0.0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#,##0.0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203E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H_Lich_F8" displayName="KH_Lich_F8" ref="A1:S7" totalsRowShown="0" headerRowBorderDxfId="19">
  <autoFilter ref="A1:S7" xr:uid="{00000000-000C-0000-FFFF-FFFF00000000}"/>
  <tableColumns count="19">
    <tableColumn id="2" xr3:uid="{00000000-0010-0000-0000-000002000000}" name="Sup" dataDxfId="18"/>
    <tableColumn id="3" xr3:uid="{00000000-0010-0000-0000-000003000000}" name="DDKD" dataDxfId="17"/>
    <tableColumn id="4" xr3:uid="{00000000-0010-0000-0000-000004000000}" name="POS" dataDxfId="16"/>
    <tableColumn id="5" xr3:uid="{00000000-0010-0000-0000-000005000000}" name="Mã KH" dataDxfId="15"/>
    <tableColumn id="6" xr3:uid="{00000000-0010-0000-0000-000006000000}" name="Tên KH" dataDxfId="14"/>
    <tableColumn id="7" xr3:uid="{00000000-0010-0000-0000-000007000000}" name="Tần suất hiện tại" dataDxfId="13"/>
    <tableColumn id="8" xr3:uid="{00000000-0010-0000-0000-000008000000}" name="Sales 3M (triệu)" dataDxfId="12"/>
    <tableColumn id="9" xr3:uid="{00000000-0010-0000-0000-000009000000}" name="BQ tháng (triệu)" dataDxfId="11"/>
    <tableColumn id="10" xr3:uid="{00000000-0010-0000-0000-00000A000000}" name="Nhóm RS" dataDxfId="10"/>
    <tableColumn id="11" xr3:uid="{00000000-0010-0000-0000-00000B000000}" name="Created_date" dataDxfId="9"/>
    <tableColumn id="12" xr3:uid="{00000000-0010-0000-0000-00000C000000}" name="Kênh" dataDxfId="8"/>
    <tableColumn id="13" xr3:uid="{00000000-0010-0000-0000-00000D000000}" name="VIP MCH" dataDxfId="7"/>
    <tableColumn id="14" xr3:uid="{00000000-0010-0000-0000-00000E000000}" name="NGÀY VT KO TÍNH TRÁI TUYẾN" dataDxfId="6"/>
    <tableColumn id="15" xr3:uid="{00000000-0010-0000-0000-00000F000000}" name="Tuần hiện tại" dataDxfId="5"/>
    <tableColumn id="16" xr3:uid="{00000000-0010-0000-0000-000010000000}" name="Ngày VT bổ sung T+3" dataDxfId="4"/>
    <tableColumn id="17" xr3:uid="{00000000-0010-0000-0000-000011000000}" name="Tần suất đề xuất" dataDxfId="3"/>
    <tableColumn id="18" xr3:uid="{00000000-0010-0000-0000-000012000000}" name="Phường/Xã" dataDxfId="2"/>
    <tableColumn id="19" xr3:uid="{00000000-0010-0000-0000-000013000000}" name="Địa chỉ" dataDxfId="1"/>
    <tableColumn id="20" xr3:uid="{00000000-0010-0000-0000-000014000000}" name="Tuần đề xuấ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H_F2_BQ2_20" displayName="KH_F2_BQ2_20" ref="A1:S107" totalsRowShown="0" headerRowDxfId="39">
  <autoFilter ref="A1:S107" xr:uid="{00000000-000C-0000-FFFF-FFFF01000000}"/>
  <tableColumns count="19">
    <tableColumn id="2" xr3:uid="{00000000-0010-0000-0100-000002000000}" name="Sup" dataDxfId="38"/>
    <tableColumn id="3" xr3:uid="{00000000-0010-0000-0100-000003000000}" name="DDKD" dataDxfId="37"/>
    <tableColumn id="4" xr3:uid="{00000000-0010-0000-0100-000004000000}" name="POS" dataDxfId="36"/>
    <tableColumn id="5" xr3:uid="{00000000-0010-0000-0100-000005000000}" name="Mã KH" dataDxfId="35"/>
    <tableColumn id="6" xr3:uid="{00000000-0010-0000-0100-000006000000}" name="Tên KH" dataDxfId="34"/>
    <tableColumn id="7" xr3:uid="{00000000-0010-0000-0100-000007000000}" name="Tần suất hiện tại" dataDxfId="33"/>
    <tableColumn id="8" xr3:uid="{00000000-0010-0000-0100-000008000000}" name="Sales 3M (triệu)" dataDxfId="32"/>
    <tableColumn id="9" xr3:uid="{00000000-0010-0000-0100-000009000000}" name="BQ tháng (triệu)" dataDxfId="31"/>
    <tableColumn id="10" xr3:uid="{00000000-0010-0000-0100-00000A000000}" name="Nhóm RS" dataDxfId="30"/>
    <tableColumn id="11" xr3:uid="{00000000-0010-0000-0100-00000B000000}" name="Created_date" dataDxfId="29"/>
    <tableColumn id="12" xr3:uid="{00000000-0010-0000-0100-00000C000000}" name="Kênh" dataDxfId="28"/>
    <tableColumn id="13" xr3:uid="{00000000-0010-0000-0100-00000D000000}" name="VIP MCH" dataDxfId="27"/>
    <tableColumn id="14" xr3:uid="{00000000-0010-0000-0100-00000E000000}" name="NGÀY VT KO TÍNH TRÁI TUYẾN" dataDxfId="26"/>
    <tableColumn id="15" xr3:uid="{00000000-0010-0000-0100-00000F000000}" name="Tuần hiện tại" dataDxfId="25"/>
    <tableColumn id="16" xr3:uid="{00000000-0010-0000-0100-000010000000}" name="Ngày VT bổ sung T+3" dataDxfId="24"/>
    <tableColumn id="17" xr3:uid="{00000000-0010-0000-0100-000011000000}" name="TẦN SUẤT KO TÍNH TRÁI TUYẾN" dataDxfId="23"/>
    <tableColumn id="18" xr3:uid="{00000000-0010-0000-0100-000012000000}" name="Phường/Xã" dataDxfId="22"/>
    <tableColumn id="19" xr3:uid="{00000000-0010-0000-0100-000013000000}" name="Địa chỉ" dataDxfId="21"/>
    <tableColumn id="20" xr3:uid="{00000000-0010-0000-0100-000014000000}" name="Tuần đề xuất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2"/>
  <sheetViews>
    <sheetView showGridLines="0" workbookViewId="0">
      <pane xSplit="4" ySplit="10" topLeftCell="E13" activePane="bottomRight" state="frozen"/>
      <selection pane="topRight"/>
      <selection pane="bottomLeft"/>
      <selection pane="bottomRight" activeCell="E11" sqref="E11"/>
    </sheetView>
  </sheetViews>
  <sheetFormatPr defaultRowHeight="14"/>
  <cols>
    <col min="1" max="1" width="12" customWidth="1"/>
    <col min="2" max="2" width="25" customWidth="1"/>
    <col min="3" max="3" width="27" customWidth="1"/>
    <col min="4" max="4" width="30" customWidth="1"/>
    <col min="5" max="7" width="12" customWidth="1"/>
    <col min="8" max="8" width="17" customWidth="1"/>
    <col min="9" max="9" width="16" customWidth="1"/>
    <col min="10" max="10" width="23" customWidth="1"/>
    <col min="11" max="11" width="19" customWidth="1"/>
  </cols>
  <sheetData>
    <row r="2" spans="1:11" ht="24" customHeight="1">
      <c r="A2" s="4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4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4" customHeight="1">
      <c r="A5" s="1" t="s">
        <v>2</v>
      </c>
      <c r="B5" s="1">
        <v>167</v>
      </c>
      <c r="C5" s="1"/>
      <c r="D5" s="1"/>
      <c r="E5" s="1"/>
      <c r="F5" s="1"/>
      <c r="G5" s="1"/>
      <c r="H5" s="1"/>
      <c r="I5" s="1"/>
      <c r="J5" s="1"/>
      <c r="K5" s="1"/>
    </row>
    <row r="6" spans="1:11" ht="24" customHeight="1">
      <c r="A6" s="1" t="s">
        <v>3</v>
      </c>
      <c r="B6" s="6">
        <f>SUM('F4'!H2:H7)</f>
        <v>178.92745870665334</v>
      </c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>
      <c r="A7" s="1" t="s">
        <v>4</v>
      </c>
      <c r="B7" s="6">
        <v>124278.90285173641</v>
      </c>
      <c r="C7" s="1"/>
      <c r="D7" s="1"/>
      <c r="E7" s="1"/>
      <c r="F7" s="1"/>
      <c r="G7" s="1"/>
      <c r="H7" s="1"/>
      <c r="I7" s="1"/>
      <c r="J7" s="1"/>
      <c r="K7" s="1"/>
    </row>
    <row r="8" spans="1:11" ht="24" customHeight="1">
      <c r="A8" s="1" t="s">
        <v>5</v>
      </c>
      <c r="B8" s="7">
        <f>B6/B7</f>
        <v>1.43972512309762E-3</v>
      </c>
      <c r="C8" s="1"/>
      <c r="D8" s="1"/>
      <c r="E8" s="1"/>
      <c r="F8" s="1"/>
      <c r="G8" s="1"/>
      <c r="H8" s="1"/>
      <c r="I8" s="1"/>
      <c r="J8" s="1"/>
      <c r="K8" s="1"/>
    </row>
    <row r="9" spans="1:11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42" customHeight="1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  <c r="H10" s="5" t="s">
        <v>13</v>
      </c>
      <c r="I10" s="5" t="s">
        <v>14</v>
      </c>
      <c r="J10" s="5" t="s">
        <v>15</v>
      </c>
      <c r="K10" s="5" t="s">
        <v>16</v>
      </c>
    </row>
    <row r="11" spans="1:11" ht="24" customHeight="1">
      <c r="A11" s="2" t="s">
        <v>7</v>
      </c>
      <c r="B11" s="2" t="s">
        <v>17</v>
      </c>
      <c r="C11" s="2"/>
      <c r="D11" s="2"/>
      <c r="E11" s="2" t="e">
        <f>COUNTIFS('F4'!#REF!,B11,'F4'!F2:F7,"F2")</f>
        <v>#REF!</v>
      </c>
      <c r="F11" s="2" t="e">
        <f>COUNTIFS('F4'!#REF!,B11,'F4'!F2:F7,"F4")</f>
        <v>#REF!</v>
      </c>
      <c r="G11" s="2" t="e">
        <f t="shared" ref="G11:G42" si="0">E11+F11</f>
        <v>#REF!</v>
      </c>
      <c r="H11" s="2" t="e">
        <f>COUNTIFS('F4'!#REF!,B11,'F4'!I2:I7,"Trước RS")</f>
        <v>#REF!</v>
      </c>
      <c r="I11" s="2" t="e">
        <f>COUNTIFS('F4'!#REF!,B11,'F4'!I2:I7,"Sau RS")</f>
        <v>#REF!</v>
      </c>
      <c r="J11" s="8" t="e">
        <f>SUMIFS('F4'!H2:H7,'F4'!#REF!,B11)</f>
        <v>#REF!</v>
      </c>
      <c r="K11" s="10" t="e">
        <f t="shared" ref="K11:K42" si="1">J11/$B$7</f>
        <v>#REF!</v>
      </c>
    </row>
    <row r="12" spans="1:11" ht="24" customHeight="1">
      <c r="A12" s="3" t="s">
        <v>8</v>
      </c>
      <c r="B12" s="3" t="s">
        <v>17</v>
      </c>
      <c r="C12" s="3" t="s">
        <v>18</v>
      </c>
      <c r="D12" s="3"/>
      <c r="E12" s="3" t="e">
        <f>COUNTIFS('F4'!#REF!,B12,'F4'!A2:A7,C12,'F4'!F2:F7,"F2")</f>
        <v>#REF!</v>
      </c>
      <c r="F12" s="3" t="e">
        <f>COUNTIFS('F4'!#REF!,B12,'F4'!A2:A7,C12,'F4'!F2:F7,"F4")</f>
        <v>#REF!</v>
      </c>
      <c r="G12" s="3" t="e">
        <f t="shared" si="0"/>
        <v>#REF!</v>
      </c>
      <c r="H12" s="3" t="e">
        <f>COUNTIFS('F4'!#REF!,B12,'F4'!A2:A7,C12,'F4'!I2:I7,"Trước RS")</f>
        <v>#REF!</v>
      </c>
      <c r="I12" s="3" t="e">
        <f>COUNTIFS('F4'!#REF!,B12,'F4'!A2:A7,C12,'F4'!I2:I7,"Sau RS")</f>
        <v>#REF!</v>
      </c>
      <c r="J12" s="9" t="e">
        <f>SUMIFS('F4'!H2:H7,'F4'!#REF!,B12,'F4'!A2:A7,C12)</f>
        <v>#REF!</v>
      </c>
      <c r="K12" s="11" t="e">
        <f t="shared" si="1"/>
        <v>#REF!</v>
      </c>
    </row>
    <row r="13" spans="1:11" ht="24" customHeight="1">
      <c r="A13" s="1" t="s">
        <v>9</v>
      </c>
      <c r="B13" s="1" t="s">
        <v>17</v>
      </c>
      <c r="C13" s="1" t="s">
        <v>18</v>
      </c>
      <c r="D13" s="1" t="s">
        <v>19</v>
      </c>
      <c r="E13" s="1" t="e">
        <f>COUNTIFS('F4'!#REF!,B13,'F4'!A2:A7,C13,'F4'!B2:B7,D13,'F4'!F2:F7,"F2")</f>
        <v>#REF!</v>
      </c>
      <c r="F13" s="1" t="e">
        <f>COUNTIFS('F4'!#REF!,B13,'F4'!A2:A7,C13,'F4'!B2:B7,D13,'F4'!F2:F7,"F4")</f>
        <v>#REF!</v>
      </c>
      <c r="G13" s="1" t="e">
        <f t="shared" si="0"/>
        <v>#REF!</v>
      </c>
      <c r="H13" s="1" t="e">
        <f>COUNTIFS('F4'!#REF!,B13,'F4'!A2:A7,C13,'F4'!B2:B7,D13,'F4'!I2:I7,"Trước RS")</f>
        <v>#REF!</v>
      </c>
      <c r="I13" s="1" t="e">
        <f>COUNTIFS('F4'!#REF!,B13,'F4'!A2:A7,C13,'F4'!B2:B7,D13,'F4'!I2:I7,"Sau RS")</f>
        <v>#REF!</v>
      </c>
      <c r="J13" s="6" t="e">
        <f>SUMIFS('F4'!H2:H7,'F4'!#REF!,B13,'F4'!A2:A7,C13,'F4'!B2:B7,D13)</f>
        <v>#REF!</v>
      </c>
      <c r="K13" s="7" t="e">
        <f t="shared" si="1"/>
        <v>#REF!</v>
      </c>
    </row>
    <row r="14" spans="1:11" ht="24" customHeight="1">
      <c r="A14" s="1" t="s">
        <v>9</v>
      </c>
      <c r="B14" s="1" t="s">
        <v>17</v>
      </c>
      <c r="C14" s="1" t="s">
        <v>18</v>
      </c>
      <c r="D14" s="1" t="s">
        <v>20</v>
      </c>
      <c r="E14" s="1" t="e">
        <f>COUNTIFS('F4'!#REF!,B14,'F4'!A2:A7,C14,'F4'!B2:B7,D14,'F4'!F2:F7,"F2")</f>
        <v>#REF!</v>
      </c>
      <c r="F14" s="1" t="e">
        <f>COUNTIFS('F4'!#REF!,B14,'F4'!A2:A7,C14,'F4'!B2:B7,D14,'F4'!F2:F7,"F4")</f>
        <v>#REF!</v>
      </c>
      <c r="G14" s="1" t="e">
        <f t="shared" si="0"/>
        <v>#REF!</v>
      </c>
      <c r="H14" s="1" t="e">
        <f>COUNTIFS('F4'!#REF!,B14,'F4'!A2:A7,C14,'F4'!B2:B7,D14,'F4'!I2:I7,"Trước RS")</f>
        <v>#REF!</v>
      </c>
      <c r="I14" s="1" t="e">
        <f>COUNTIFS('F4'!#REF!,B14,'F4'!A2:A7,C14,'F4'!B2:B7,D14,'F4'!I2:I7,"Sau RS")</f>
        <v>#REF!</v>
      </c>
      <c r="J14" s="6" t="e">
        <f>SUMIFS('F4'!H2:H7,'F4'!#REF!,B14,'F4'!A2:A7,C14,'F4'!B2:B7,D14)</f>
        <v>#REF!</v>
      </c>
      <c r="K14" s="7" t="e">
        <f t="shared" si="1"/>
        <v>#REF!</v>
      </c>
    </row>
    <row r="15" spans="1:11" ht="24" customHeight="1">
      <c r="A15" s="1" t="s">
        <v>9</v>
      </c>
      <c r="B15" s="1" t="s">
        <v>17</v>
      </c>
      <c r="C15" s="1" t="s">
        <v>18</v>
      </c>
      <c r="D15" s="1" t="s">
        <v>21</v>
      </c>
      <c r="E15" s="1" t="e">
        <f>COUNTIFS('F4'!#REF!,B15,'F4'!A2:A7,C15,'F4'!B2:B7,D15,'F4'!F2:F7,"F2")</f>
        <v>#REF!</v>
      </c>
      <c r="F15" s="1" t="e">
        <f>COUNTIFS('F4'!#REF!,B15,'F4'!A2:A7,C15,'F4'!B2:B7,D15,'F4'!F2:F7,"F4")</f>
        <v>#REF!</v>
      </c>
      <c r="G15" s="1" t="e">
        <f t="shared" si="0"/>
        <v>#REF!</v>
      </c>
      <c r="H15" s="1" t="e">
        <f>COUNTIFS('F4'!#REF!,B15,'F4'!A2:A7,C15,'F4'!B2:B7,D15,'F4'!I2:I7,"Trước RS")</f>
        <v>#REF!</v>
      </c>
      <c r="I15" s="1" t="e">
        <f>COUNTIFS('F4'!#REF!,B15,'F4'!A2:A7,C15,'F4'!B2:B7,D15,'F4'!I2:I7,"Sau RS")</f>
        <v>#REF!</v>
      </c>
      <c r="J15" s="6" t="e">
        <f>SUMIFS('F4'!H2:H7,'F4'!#REF!,B15,'F4'!A2:A7,C15,'F4'!B2:B7,D15)</f>
        <v>#REF!</v>
      </c>
      <c r="K15" s="7" t="e">
        <f t="shared" si="1"/>
        <v>#REF!</v>
      </c>
    </row>
    <row r="16" spans="1:11" ht="24" customHeight="1">
      <c r="A16" s="1" t="s">
        <v>9</v>
      </c>
      <c r="B16" s="1" t="s">
        <v>17</v>
      </c>
      <c r="C16" s="1" t="s">
        <v>18</v>
      </c>
      <c r="D16" s="1" t="s">
        <v>22</v>
      </c>
      <c r="E16" s="1" t="e">
        <f>COUNTIFS('F4'!#REF!,B16,'F4'!A2:A7,C16,'F4'!B2:B7,D16,'F4'!F2:F7,"F2")</f>
        <v>#REF!</v>
      </c>
      <c r="F16" s="1" t="e">
        <f>COUNTIFS('F4'!#REF!,B16,'F4'!A2:A7,C16,'F4'!B2:B7,D16,'F4'!F2:F7,"F4")</f>
        <v>#REF!</v>
      </c>
      <c r="G16" s="1" t="e">
        <f t="shared" si="0"/>
        <v>#REF!</v>
      </c>
      <c r="H16" s="1" t="e">
        <f>COUNTIFS('F4'!#REF!,B16,'F4'!A2:A7,C16,'F4'!B2:B7,D16,'F4'!I2:I7,"Trước RS")</f>
        <v>#REF!</v>
      </c>
      <c r="I16" s="1" t="e">
        <f>COUNTIFS('F4'!#REF!,B16,'F4'!A2:A7,C16,'F4'!B2:B7,D16,'F4'!I2:I7,"Sau RS")</f>
        <v>#REF!</v>
      </c>
      <c r="J16" s="6" t="e">
        <f>SUMIFS('F4'!H2:H7,'F4'!#REF!,B16,'F4'!A2:A7,C16,'F4'!B2:B7,D16)</f>
        <v>#REF!</v>
      </c>
      <c r="K16" s="7" t="e">
        <f t="shared" si="1"/>
        <v>#REF!</v>
      </c>
    </row>
    <row r="17" spans="1:11" ht="24" customHeight="1">
      <c r="A17" s="1" t="s">
        <v>9</v>
      </c>
      <c r="B17" s="1" t="s">
        <v>17</v>
      </c>
      <c r="C17" s="1" t="s">
        <v>18</v>
      </c>
      <c r="D17" s="1" t="s">
        <v>23</v>
      </c>
      <c r="E17" s="1" t="e">
        <f>COUNTIFS('F4'!#REF!,B17,'F4'!A2:A7,C17,'F4'!B2:B7,D17,'F4'!F2:F7,"F2")</f>
        <v>#REF!</v>
      </c>
      <c r="F17" s="1" t="e">
        <f>COUNTIFS('F4'!#REF!,B17,'F4'!A2:A7,C17,'F4'!B2:B7,D17,'F4'!F2:F7,"F4")</f>
        <v>#REF!</v>
      </c>
      <c r="G17" s="1" t="e">
        <f t="shared" si="0"/>
        <v>#REF!</v>
      </c>
      <c r="H17" s="1" t="e">
        <f>COUNTIFS('F4'!#REF!,B17,'F4'!A2:A7,C17,'F4'!B2:B7,D17,'F4'!I2:I7,"Trước RS")</f>
        <v>#REF!</v>
      </c>
      <c r="I17" s="1" t="e">
        <f>COUNTIFS('F4'!#REF!,B17,'F4'!A2:A7,C17,'F4'!B2:B7,D17,'F4'!I2:I7,"Sau RS")</f>
        <v>#REF!</v>
      </c>
      <c r="J17" s="6" t="e">
        <f>SUMIFS('F4'!H2:H7,'F4'!#REF!,B17,'F4'!A2:A7,C17,'F4'!B2:B7,D17)</f>
        <v>#REF!</v>
      </c>
      <c r="K17" s="7" t="e">
        <f t="shared" si="1"/>
        <v>#REF!</v>
      </c>
    </row>
    <row r="18" spans="1:11" ht="24" customHeight="1">
      <c r="A18" s="3" t="s">
        <v>8</v>
      </c>
      <c r="B18" s="3" t="s">
        <v>17</v>
      </c>
      <c r="C18" s="3" t="s">
        <v>24</v>
      </c>
      <c r="D18" s="3"/>
      <c r="E18" s="3" t="e">
        <f>COUNTIFS('F4'!#REF!,B18,'F4'!A2:A7,C18,'F4'!F2:F7,"F2")</f>
        <v>#REF!</v>
      </c>
      <c r="F18" s="3" t="e">
        <f>COUNTIFS('F4'!#REF!,B18,'F4'!A2:A7,C18,'F4'!F2:F7,"F4")</f>
        <v>#REF!</v>
      </c>
      <c r="G18" s="3" t="e">
        <f t="shared" si="0"/>
        <v>#REF!</v>
      </c>
      <c r="H18" s="3" t="e">
        <f>COUNTIFS('F4'!#REF!,B18,'F4'!A2:A7,C18,'F4'!I2:I7,"Trước RS")</f>
        <v>#REF!</v>
      </c>
      <c r="I18" s="3" t="e">
        <f>COUNTIFS('F4'!#REF!,B18,'F4'!A2:A7,C18,'F4'!I2:I7,"Sau RS")</f>
        <v>#REF!</v>
      </c>
      <c r="J18" s="9" t="e">
        <f>SUMIFS('F4'!H2:H7,'F4'!#REF!,B18,'F4'!A2:A7,C18)</f>
        <v>#REF!</v>
      </c>
      <c r="K18" s="11" t="e">
        <f t="shared" si="1"/>
        <v>#REF!</v>
      </c>
    </row>
    <row r="19" spans="1:11" ht="24" customHeight="1">
      <c r="A19" s="1" t="s">
        <v>9</v>
      </c>
      <c r="B19" s="1" t="s">
        <v>17</v>
      </c>
      <c r="C19" s="1" t="s">
        <v>24</v>
      </c>
      <c r="D19" s="1" t="s">
        <v>25</v>
      </c>
      <c r="E19" s="1" t="e">
        <f>COUNTIFS('F4'!#REF!,B19,'F4'!A2:A7,C19,'F4'!B2:B7,D19,'F4'!F2:F7,"F2")</f>
        <v>#REF!</v>
      </c>
      <c r="F19" s="1" t="e">
        <f>COUNTIFS('F4'!#REF!,B19,'F4'!A2:A7,C19,'F4'!B2:B7,D19,'F4'!F2:F7,"F4")</f>
        <v>#REF!</v>
      </c>
      <c r="G19" s="1" t="e">
        <f t="shared" si="0"/>
        <v>#REF!</v>
      </c>
      <c r="H19" s="1" t="e">
        <f>COUNTIFS('F4'!#REF!,B19,'F4'!A2:A7,C19,'F4'!B2:B7,D19,'F4'!I2:I7,"Trước RS")</f>
        <v>#REF!</v>
      </c>
      <c r="I19" s="1" t="e">
        <f>COUNTIFS('F4'!#REF!,B19,'F4'!A2:A7,C19,'F4'!B2:B7,D19,'F4'!I2:I7,"Sau RS")</f>
        <v>#REF!</v>
      </c>
      <c r="J19" s="6" t="e">
        <f>SUMIFS('F4'!H2:H7,'F4'!#REF!,B19,'F4'!A2:A7,C19,'F4'!B2:B7,D19)</f>
        <v>#REF!</v>
      </c>
      <c r="K19" s="7" t="e">
        <f t="shared" si="1"/>
        <v>#REF!</v>
      </c>
    </row>
    <row r="20" spans="1:11" ht="24" customHeight="1">
      <c r="A20" s="1" t="s">
        <v>9</v>
      </c>
      <c r="B20" s="1" t="s">
        <v>17</v>
      </c>
      <c r="C20" s="1" t="s">
        <v>24</v>
      </c>
      <c r="D20" s="1" t="s">
        <v>26</v>
      </c>
      <c r="E20" s="1" t="e">
        <f>COUNTIFS('F4'!#REF!,B20,'F4'!A2:A7,C20,'F4'!B2:B7,D20,'F4'!F2:F7,"F2")</f>
        <v>#REF!</v>
      </c>
      <c r="F20" s="1" t="e">
        <f>COUNTIFS('F4'!#REF!,B20,'F4'!A2:A7,C20,'F4'!B2:B7,D20,'F4'!F2:F7,"F4")</f>
        <v>#REF!</v>
      </c>
      <c r="G20" s="1" t="e">
        <f t="shared" si="0"/>
        <v>#REF!</v>
      </c>
      <c r="H20" s="1" t="e">
        <f>COUNTIFS('F4'!#REF!,B20,'F4'!A2:A7,C20,'F4'!B2:B7,D20,'F4'!I2:I7,"Trước RS")</f>
        <v>#REF!</v>
      </c>
      <c r="I20" s="1" t="e">
        <f>COUNTIFS('F4'!#REF!,B20,'F4'!A2:A7,C20,'F4'!B2:B7,D20,'F4'!I2:I7,"Sau RS")</f>
        <v>#REF!</v>
      </c>
      <c r="J20" s="6" t="e">
        <f>SUMIFS('F4'!H2:H7,'F4'!#REF!,B20,'F4'!A2:A7,C20,'F4'!B2:B7,D20)</f>
        <v>#REF!</v>
      </c>
      <c r="K20" s="7" t="e">
        <f t="shared" si="1"/>
        <v>#REF!</v>
      </c>
    </row>
    <row r="21" spans="1:11" ht="24" customHeight="1">
      <c r="A21" s="1" t="s">
        <v>9</v>
      </c>
      <c r="B21" s="1" t="s">
        <v>17</v>
      </c>
      <c r="C21" s="1" t="s">
        <v>24</v>
      </c>
      <c r="D21" s="1" t="s">
        <v>27</v>
      </c>
      <c r="E21" s="1" t="e">
        <f>COUNTIFS('F4'!#REF!,B21,'F4'!A2:A7,C21,'F4'!B2:B7,D21,'F4'!F2:F7,"F2")</f>
        <v>#REF!</v>
      </c>
      <c r="F21" s="1" t="e">
        <f>COUNTIFS('F4'!#REF!,B21,'F4'!A2:A7,C21,'F4'!B2:B7,D21,'F4'!F2:F7,"F4")</f>
        <v>#REF!</v>
      </c>
      <c r="G21" s="1" t="e">
        <f t="shared" si="0"/>
        <v>#REF!</v>
      </c>
      <c r="H21" s="1" t="e">
        <f>COUNTIFS('F4'!#REF!,B21,'F4'!A2:A7,C21,'F4'!B2:B7,D21,'F4'!I2:I7,"Trước RS")</f>
        <v>#REF!</v>
      </c>
      <c r="I21" s="1" t="e">
        <f>COUNTIFS('F4'!#REF!,B21,'F4'!A2:A7,C21,'F4'!B2:B7,D21,'F4'!I2:I7,"Sau RS")</f>
        <v>#REF!</v>
      </c>
      <c r="J21" s="6" t="e">
        <f>SUMIFS('F4'!H2:H7,'F4'!#REF!,B21,'F4'!A2:A7,C21,'F4'!B2:B7,D21)</f>
        <v>#REF!</v>
      </c>
      <c r="K21" s="7" t="e">
        <f t="shared" si="1"/>
        <v>#REF!</v>
      </c>
    </row>
    <row r="22" spans="1:11" ht="24" customHeight="1">
      <c r="A22" s="1" t="s">
        <v>9</v>
      </c>
      <c r="B22" s="1" t="s">
        <v>17</v>
      </c>
      <c r="C22" s="1" t="s">
        <v>24</v>
      </c>
      <c r="D22" s="1" t="s">
        <v>28</v>
      </c>
      <c r="E22" s="1" t="e">
        <f>COUNTIFS('F4'!#REF!,B22,'F4'!A2:A7,C22,'F4'!B2:B7,D22,'F4'!F2:F7,"F2")</f>
        <v>#REF!</v>
      </c>
      <c r="F22" s="1" t="e">
        <f>COUNTIFS('F4'!#REF!,B22,'F4'!A2:A7,C22,'F4'!B2:B7,D22,'F4'!F2:F7,"F4")</f>
        <v>#REF!</v>
      </c>
      <c r="G22" s="1" t="e">
        <f t="shared" si="0"/>
        <v>#REF!</v>
      </c>
      <c r="H22" s="1" t="e">
        <f>COUNTIFS('F4'!#REF!,B22,'F4'!A2:A7,C22,'F4'!B2:B7,D22,'F4'!I2:I7,"Trước RS")</f>
        <v>#REF!</v>
      </c>
      <c r="I22" s="1" t="e">
        <f>COUNTIFS('F4'!#REF!,B22,'F4'!A2:A7,C22,'F4'!B2:B7,D22,'F4'!I2:I7,"Sau RS")</f>
        <v>#REF!</v>
      </c>
      <c r="J22" s="6" t="e">
        <f>SUMIFS('F4'!H2:H7,'F4'!#REF!,B22,'F4'!A2:A7,C22,'F4'!B2:B7,D22)</f>
        <v>#REF!</v>
      </c>
      <c r="K22" s="7" t="e">
        <f t="shared" si="1"/>
        <v>#REF!</v>
      </c>
    </row>
    <row r="23" spans="1:11" ht="24" customHeight="1">
      <c r="A23" s="1" t="s">
        <v>9</v>
      </c>
      <c r="B23" s="1" t="s">
        <v>17</v>
      </c>
      <c r="C23" s="1" t="s">
        <v>24</v>
      </c>
      <c r="D23" s="1" t="s">
        <v>29</v>
      </c>
      <c r="E23" s="1" t="e">
        <f>COUNTIFS('F4'!#REF!,B23,'F4'!A2:A7,C23,'F4'!B2:B7,D23,'F4'!F2:F7,"F2")</f>
        <v>#REF!</v>
      </c>
      <c r="F23" s="1" t="e">
        <f>COUNTIFS('F4'!#REF!,B23,'F4'!A2:A7,C23,'F4'!B2:B7,D23,'F4'!F2:F7,"F4")</f>
        <v>#REF!</v>
      </c>
      <c r="G23" s="1" t="e">
        <f t="shared" si="0"/>
        <v>#REF!</v>
      </c>
      <c r="H23" s="1" t="e">
        <f>COUNTIFS('F4'!#REF!,B23,'F4'!A2:A7,C23,'F4'!B2:B7,D23,'F4'!I2:I7,"Trước RS")</f>
        <v>#REF!</v>
      </c>
      <c r="I23" s="1" t="e">
        <f>COUNTIFS('F4'!#REF!,B23,'F4'!A2:A7,C23,'F4'!B2:B7,D23,'F4'!I2:I7,"Sau RS")</f>
        <v>#REF!</v>
      </c>
      <c r="J23" s="6" t="e">
        <f>SUMIFS('F4'!H2:H7,'F4'!#REF!,B23,'F4'!A2:A7,C23,'F4'!B2:B7,D23)</f>
        <v>#REF!</v>
      </c>
      <c r="K23" s="7" t="e">
        <f t="shared" si="1"/>
        <v>#REF!</v>
      </c>
    </row>
    <row r="24" spans="1:11" ht="24" customHeight="1">
      <c r="A24" s="1" t="s">
        <v>9</v>
      </c>
      <c r="B24" s="1" t="s">
        <v>17</v>
      </c>
      <c r="C24" s="1" t="s">
        <v>24</v>
      </c>
      <c r="D24" s="1" t="s">
        <v>30</v>
      </c>
      <c r="E24" s="1" t="e">
        <f>COUNTIFS('F4'!#REF!,B24,'F4'!A2:A7,C24,'F4'!B2:B7,D24,'F4'!F2:F7,"F2")</f>
        <v>#REF!</v>
      </c>
      <c r="F24" s="1" t="e">
        <f>COUNTIFS('F4'!#REF!,B24,'F4'!A2:A7,C24,'F4'!B2:B7,D24,'F4'!F2:F7,"F4")</f>
        <v>#REF!</v>
      </c>
      <c r="G24" s="1" t="e">
        <f t="shared" si="0"/>
        <v>#REF!</v>
      </c>
      <c r="H24" s="1" t="e">
        <f>COUNTIFS('F4'!#REF!,B24,'F4'!A2:A7,C24,'F4'!B2:B7,D24,'F4'!I2:I7,"Trước RS")</f>
        <v>#REF!</v>
      </c>
      <c r="I24" s="1" t="e">
        <f>COUNTIFS('F4'!#REF!,B24,'F4'!A2:A7,C24,'F4'!B2:B7,D24,'F4'!I2:I7,"Sau RS")</f>
        <v>#REF!</v>
      </c>
      <c r="J24" s="6" t="e">
        <f>SUMIFS('F4'!H2:H7,'F4'!#REF!,B24,'F4'!A2:A7,C24,'F4'!B2:B7,D24)</f>
        <v>#REF!</v>
      </c>
      <c r="K24" s="7" t="e">
        <f t="shared" si="1"/>
        <v>#REF!</v>
      </c>
    </row>
    <row r="25" spans="1:11" ht="24" customHeight="1">
      <c r="A25" s="2" t="s">
        <v>7</v>
      </c>
      <c r="B25" s="2" t="s">
        <v>31</v>
      </c>
      <c r="C25" s="2"/>
      <c r="D25" s="2"/>
      <c r="E25" s="2" t="e">
        <f>COUNTIFS('F4'!#REF!,B25,'F4'!F2:F7,"F2")</f>
        <v>#REF!</v>
      </c>
      <c r="F25" s="2" t="e">
        <f>COUNTIFS('F4'!#REF!,B25,'F4'!F2:F7,"F4")</f>
        <v>#REF!</v>
      </c>
      <c r="G25" s="2" t="e">
        <f t="shared" si="0"/>
        <v>#REF!</v>
      </c>
      <c r="H25" s="2" t="e">
        <f>COUNTIFS('F4'!#REF!,B25,'F4'!I2:I7,"Trước RS")</f>
        <v>#REF!</v>
      </c>
      <c r="I25" s="2" t="e">
        <f>COUNTIFS('F4'!#REF!,B25,'F4'!I2:I7,"Sau RS")</f>
        <v>#REF!</v>
      </c>
      <c r="J25" s="8" t="e">
        <f>SUMIFS('F4'!H2:H7,'F4'!#REF!,B25)</f>
        <v>#REF!</v>
      </c>
      <c r="K25" s="10" t="e">
        <f t="shared" si="1"/>
        <v>#REF!</v>
      </c>
    </row>
    <row r="26" spans="1:11" ht="24" customHeight="1">
      <c r="A26" s="3" t="s">
        <v>8</v>
      </c>
      <c r="B26" s="3" t="s">
        <v>31</v>
      </c>
      <c r="C26" s="3" t="s">
        <v>32</v>
      </c>
      <c r="D26" s="3"/>
      <c r="E26" s="3" t="e">
        <f>COUNTIFS('F4'!#REF!,B26,'F4'!A2:A7,C26,'F4'!F2:F7,"F2")</f>
        <v>#REF!</v>
      </c>
      <c r="F26" s="3" t="e">
        <f>COUNTIFS('F4'!#REF!,B26,'F4'!A2:A7,C26,'F4'!F2:F7,"F4")</f>
        <v>#REF!</v>
      </c>
      <c r="G26" s="3" t="e">
        <f t="shared" si="0"/>
        <v>#REF!</v>
      </c>
      <c r="H26" s="3" t="e">
        <f>COUNTIFS('F4'!#REF!,B26,'F4'!A2:A7,C26,'F4'!I2:I7,"Trước RS")</f>
        <v>#REF!</v>
      </c>
      <c r="I26" s="3" t="e">
        <f>COUNTIFS('F4'!#REF!,B26,'F4'!A2:A7,C26,'F4'!I2:I7,"Sau RS")</f>
        <v>#REF!</v>
      </c>
      <c r="J26" s="9" t="e">
        <f>SUMIFS('F4'!H2:H7,'F4'!#REF!,B26,'F4'!A2:A7,C26)</f>
        <v>#REF!</v>
      </c>
      <c r="K26" s="11" t="e">
        <f t="shared" si="1"/>
        <v>#REF!</v>
      </c>
    </row>
    <row r="27" spans="1:11" ht="24" customHeight="1">
      <c r="A27" s="1" t="s">
        <v>9</v>
      </c>
      <c r="B27" s="1" t="s">
        <v>31</v>
      </c>
      <c r="C27" s="1" t="s">
        <v>32</v>
      </c>
      <c r="D27" s="1" t="s">
        <v>33</v>
      </c>
      <c r="E27" s="1" t="e">
        <f>COUNTIFS('F4'!#REF!,B27,'F4'!A2:A7,C27,'F4'!B2:B7,D27,'F4'!F2:F7,"F2")</f>
        <v>#REF!</v>
      </c>
      <c r="F27" s="1" t="e">
        <f>COUNTIFS('F4'!#REF!,B27,'F4'!A2:A7,C27,'F4'!B2:B7,D27,'F4'!F2:F7,"F4")</f>
        <v>#REF!</v>
      </c>
      <c r="G27" s="1" t="e">
        <f t="shared" si="0"/>
        <v>#REF!</v>
      </c>
      <c r="H27" s="1" t="e">
        <f>COUNTIFS('F4'!#REF!,B27,'F4'!A2:A7,C27,'F4'!B2:B7,D27,'F4'!I2:I7,"Trước RS")</f>
        <v>#REF!</v>
      </c>
      <c r="I27" s="1" t="e">
        <f>COUNTIFS('F4'!#REF!,B27,'F4'!A2:A7,C27,'F4'!B2:B7,D27,'F4'!I2:I7,"Sau RS")</f>
        <v>#REF!</v>
      </c>
      <c r="J27" s="6" t="e">
        <f>SUMIFS('F4'!H2:H7,'F4'!#REF!,B27,'F4'!A2:A7,C27,'F4'!B2:B7,D27)</f>
        <v>#REF!</v>
      </c>
      <c r="K27" s="7" t="e">
        <f t="shared" si="1"/>
        <v>#REF!</v>
      </c>
    </row>
    <row r="28" spans="1:11" ht="24" customHeight="1">
      <c r="A28" s="1" t="s">
        <v>9</v>
      </c>
      <c r="B28" s="1" t="s">
        <v>31</v>
      </c>
      <c r="C28" s="1" t="s">
        <v>32</v>
      </c>
      <c r="D28" s="1" t="s">
        <v>34</v>
      </c>
      <c r="E28" s="1" t="e">
        <f>COUNTIFS('F4'!#REF!,B28,'F4'!A2:A7,C28,'F4'!B2:B7,D28,'F4'!F2:F7,"F2")</f>
        <v>#REF!</v>
      </c>
      <c r="F28" s="1" t="e">
        <f>COUNTIFS('F4'!#REF!,B28,'F4'!A2:A7,C28,'F4'!B2:B7,D28,'F4'!F2:F7,"F4")</f>
        <v>#REF!</v>
      </c>
      <c r="G28" s="1" t="e">
        <f t="shared" si="0"/>
        <v>#REF!</v>
      </c>
      <c r="H28" s="1" t="e">
        <f>COUNTIFS('F4'!#REF!,B28,'F4'!A2:A7,C28,'F4'!B2:B7,D28,'F4'!I2:I7,"Trước RS")</f>
        <v>#REF!</v>
      </c>
      <c r="I28" s="1" t="e">
        <f>COUNTIFS('F4'!#REF!,B28,'F4'!A2:A7,C28,'F4'!B2:B7,D28,'F4'!I2:I7,"Sau RS")</f>
        <v>#REF!</v>
      </c>
      <c r="J28" s="6" t="e">
        <f>SUMIFS('F4'!H2:H7,'F4'!#REF!,B28,'F4'!A2:A7,C28,'F4'!B2:B7,D28)</f>
        <v>#REF!</v>
      </c>
      <c r="K28" s="7" t="e">
        <f t="shared" si="1"/>
        <v>#REF!</v>
      </c>
    </row>
    <row r="29" spans="1:11" ht="24" customHeight="1">
      <c r="A29" s="1" t="s">
        <v>9</v>
      </c>
      <c r="B29" s="1" t="s">
        <v>31</v>
      </c>
      <c r="C29" s="1" t="s">
        <v>32</v>
      </c>
      <c r="D29" s="1" t="s">
        <v>35</v>
      </c>
      <c r="E29" s="1" t="e">
        <f>COUNTIFS('F4'!#REF!,B29,'F4'!A2:A7,C29,'F4'!B2:B7,D29,'F4'!F2:F7,"F2")</f>
        <v>#REF!</v>
      </c>
      <c r="F29" s="1" t="e">
        <f>COUNTIFS('F4'!#REF!,B29,'F4'!A2:A7,C29,'F4'!B2:B7,D29,'F4'!F2:F7,"F4")</f>
        <v>#REF!</v>
      </c>
      <c r="G29" s="1" t="e">
        <f t="shared" si="0"/>
        <v>#REF!</v>
      </c>
      <c r="H29" s="1" t="e">
        <f>COUNTIFS('F4'!#REF!,B29,'F4'!A2:A7,C29,'F4'!B2:B7,D29,'F4'!I2:I7,"Trước RS")</f>
        <v>#REF!</v>
      </c>
      <c r="I29" s="1" t="e">
        <f>COUNTIFS('F4'!#REF!,B29,'F4'!A2:A7,C29,'F4'!B2:B7,D29,'F4'!I2:I7,"Sau RS")</f>
        <v>#REF!</v>
      </c>
      <c r="J29" s="6" t="e">
        <f>SUMIFS('F4'!H2:H7,'F4'!#REF!,B29,'F4'!A2:A7,C29,'F4'!B2:B7,D29)</f>
        <v>#REF!</v>
      </c>
      <c r="K29" s="7" t="e">
        <f t="shared" si="1"/>
        <v>#REF!</v>
      </c>
    </row>
    <row r="30" spans="1:11" ht="24" customHeight="1">
      <c r="A30" s="1" t="s">
        <v>9</v>
      </c>
      <c r="B30" s="1" t="s">
        <v>31</v>
      </c>
      <c r="C30" s="1" t="s">
        <v>32</v>
      </c>
      <c r="D30" s="1" t="s">
        <v>36</v>
      </c>
      <c r="E30" s="1" t="e">
        <f>COUNTIFS('F4'!#REF!,B30,'F4'!A2:A7,C30,'F4'!B2:B7,D30,'F4'!F2:F7,"F2")</f>
        <v>#REF!</v>
      </c>
      <c r="F30" s="1" t="e">
        <f>COUNTIFS('F4'!#REF!,B30,'F4'!A2:A7,C30,'F4'!B2:B7,D30,'F4'!F2:F7,"F4")</f>
        <v>#REF!</v>
      </c>
      <c r="G30" s="1" t="e">
        <f t="shared" si="0"/>
        <v>#REF!</v>
      </c>
      <c r="H30" s="1" t="e">
        <f>COUNTIFS('F4'!#REF!,B30,'F4'!A2:A7,C30,'F4'!B2:B7,D30,'F4'!I2:I7,"Trước RS")</f>
        <v>#REF!</v>
      </c>
      <c r="I30" s="1" t="e">
        <f>COUNTIFS('F4'!#REF!,B30,'F4'!A2:A7,C30,'F4'!B2:B7,D30,'F4'!I2:I7,"Sau RS")</f>
        <v>#REF!</v>
      </c>
      <c r="J30" s="6" t="e">
        <f>SUMIFS('F4'!H2:H7,'F4'!#REF!,B30,'F4'!A2:A7,C30,'F4'!B2:B7,D30)</f>
        <v>#REF!</v>
      </c>
      <c r="K30" s="7" t="e">
        <f t="shared" si="1"/>
        <v>#REF!</v>
      </c>
    </row>
    <row r="31" spans="1:11" ht="24" customHeight="1">
      <c r="A31" s="1" t="s">
        <v>9</v>
      </c>
      <c r="B31" s="1" t="s">
        <v>31</v>
      </c>
      <c r="C31" s="1" t="s">
        <v>32</v>
      </c>
      <c r="D31" s="1" t="s">
        <v>37</v>
      </c>
      <c r="E31" s="1" t="e">
        <f>COUNTIFS('F4'!#REF!,B31,'F4'!A2:A7,C31,'F4'!B2:B7,D31,'F4'!F2:F7,"F2")</f>
        <v>#REF!</v>
      </c>
      <c r="F31" s="1" t="e">
        <f>COUNTIFS('F4'!#REF!,B31,'F4'!A2:A7,C31,'F4'!B2:B7,D31,'F4'!F2:F7,"F4")</f>
        <v>#REF!</v>
      </c>
      <c r="G31" s="1" t="e">
        <f t="shared" si="0"/>
        <v>#REF!</v>
      </c>
      <c r="H31" s="1" t="e">
        <f>COUNTIFS('F4'!#REF!,B31,'F4'!A2:A7,C31,'F4'!B2:B7,D31,'F4'!I2:I7,"Trước RS")</f>
        <v>#REF!</v>
      </c>
      <c r="I31" s="1" t="e">
        <f>COUNTIFS('F4'!#REF!,B31,'F4'!A2:A7,C31,'F4'!B2:B7,D31,'F4'!I2:I7,"Sau RS")</f>
        <v>#REF!</v>
      </c>
      <c r="J31" s="6" t="e">
        <f>SUMIFS('F4'!H2:H7,'F4'!#REF!,B31,'F4'!A2:A7,C31,'F4'!B2:B7,D31)</f>
        <v>#REF!</v>
      </c>
      <c r="K31" s="7" t="e">
        <f t="shared" si="1"/>
        <v>#REF!</v>
      </c>
    </row>
    <row r="32" spans="1:11" ht="24" customHeight="1">
      <c r="A32" s="1" t="s">
        <v>9</v>
      </c>
      <c r="B32" s="1" t="s">
        <v>31</v>
      </c>
      <c r="C32" s="1" t="s">
        <v>32</v>
      </c>
      <c r="D32" s="1" t="s">
        <v>38</v>
      </c>
      <c r="E32" s="1" t="e">
        <f>COUNTIFS('F4'!#REF!,B32,'F4'!A2:A7,C32,'F4'!B2:B7,D32,'F4'!F2:F7,"F2")</f>
        <v>#REF!</v>
      </c>
      <c r="F32" s="1" t="e">
        <f>COUNTIFS('F4'!#REF!,B32,'F4'!A2:A7,C32,'F4'!B2:B7,D32,'F4'!F2:F7,"F4")</f>
        <v>#REF!</v>
      </c>
      <c r="G32" s="1" t="e">
        <f t="shared" si="0"/>
        <v>#REF!</v>
      </c>
      <c r="H32" s="1" t="e">
        <f>COUNTIFS('F4'!#REF!,B32,'F4'!A2:A7,C32,'F4'!B2:B7,D32,'F4'!I2:I7,"Trước RS")</f>
        <v>#REF!</v>
      </c>
      <c r="I32" s="1" t="e">
        <f>COUNTIFS('F4'!#REF!,B32,'F4'!A2:A7,C32,'F4'!B2:B7,D32,'F4'!I2:I7,"Sau RS")</f>
        <v>#REF!</v>
      </c>
      <c r="J32" s="6" t="e">
        <f>SUMIFS('F4'!H2:H7,'F4'!#REF!,B32,'F4'!A2:A7,C32,'F4'!B2:B7,D32)</f>
        <v>#REF!</v>
      </c>
      <c r="K32" s="7" t="e">
        <f t="shared" si="1"/>
        <v>#REF!</v>
      </c>
    </row>
    <row r="33" spans="1:11" ht="24" customHeight="1">
      <c r="A33" s="1" t="s">
        <v>9</v>
      </c>
      <c r="B33" s="1" t="s">
        <v>31</v>
      </c>
      <c r="C33" s="1" t="s">
        <v>32</v>
      </c>
      <c r="D33" s="1" t="s">
        <v>39</v>
      </c>
      <c r="E33" s="1" t="e">
        <f>COUNTIFS('F4'!#REF!,B33,'F4'!A2:A7,C33,'F4'!B2:B7,D33,'F4'!F2:F7,"F2")</f>
        <v>#REF!</v>
      </c>
      <c r="F33" s="1" t="e">
        <f>COUNTIFS('F4'!#REF!,B33,'F4'!A2:A7,C33,'F4'!B2:B7,D33,'F4'!F2:F7,"F4")</f>
        <v>#REF!</v>
      </c>
      <c r="G33" s="1" t="e">
        <f t="shared" si="0"/>
        <v>#REF!</v>
      </c>
      <c r="H33" s="1" t="e">
        <f>COUNTIFS('F4'!#REF!,B33,'F4'!A2:A7,C33,'F4'!B2:B7,D33,'F4'!I2:I7,"Trước RS")</f>
        <v>#REF!</v>
      </c>
      <c r="I33" s="1" t="e">
        <f>COUNTIFS('F4'!#REF!,B33,'F4'!A2:A7,C33,'F4'!B2:B7,D33,'F4'!I2:I7,"Sau RS")</f>
        <v>#REF!</v>
      </c>
      <c r="J33" s="6" t="e">
        <f>SUMIFS('F4'!H2:H7,'F4'!#REF!,B33,'F4'!A2:A7,C33,'F4'!B2:B7,D33)</f>
        <v>#REF!</v>
      </c>
      <c r="K33" s="7" t="e">
        <f t="shared" si="1"/>
        <v>#REF!</v>
      </c>
    </row>
    <row r="34" spans="1:11" ht="24" customHeight="1">
      <c r="A34" s="1" t="s">
        <v>9</v>
      </c>
      <c r="B34" s="1" t="s">
        <v>31</v>
      </c>
      <c r="C34" s="1" t="s">
        <v>32</v>
      </c>
      <c r="D34" s="1" t="s">
        <v>40</v>
      </c>
      <c r="E34" s="1" t="e">
        <f>COUNTIFS('F4'!#REF!,B34,'F4'!A2:A7,C34,'F4'!B2:B7,D34,'F4'!F2:F7,"F2")</f>
        <v>#REF!</v>
      </c>
      <c r="F34" s="1" t="e">
        <f>COUNTIFS('F4'!#REF!,B34,'F4'!A2:A7,C34,'F4'!B2:B7,D34,'F4'!F2:F7,"F4")</f>
        <v>#REF!</v>
      </c>
      <c r="G34" s="1" t="e">
        <f t="shared" si="0"/>
        <v>#REF!</v>
      </c>
      <c r="H34" s="1" t="e">
        <f>COUNTIFS('F4'!#REF!,B34,'F4'!A2:A7,C34,'F4'!B2:B7,D34,'F4'!I2:I7,"Trước RS")</f>
        <v>#REF!</v>
      </c>
      <c r="I34" s="1" t="e">
        <f>COUNTIFS('F4'!#REF!,B34,'F4'!A2:A7,C34,'F4'!B2:B7,D34,'F4'!I2:I7,"Sau RS")</f>
        <v>#REF!</v>
      </c>
      <c r="J34" s="6" t="e">
        <f>SUMIFS('F4'!H2:H7,'F4'!#REF!,B34,'F4'!A2:A7,C34,'F4'!B2:B7,D34)</f>
        <v>#REF!</v>
      </c>
      <c r="K34" s="7" t="e">
        <f t="shared" si="1"/>
        <v>#REF!</v>
      </c>
    </row>
    <row r="35" spans="1:11" ht="24" customHeight="1">
      <c r="A35" s="1" t="s">
        <v>9</v>
      </c>
      <c r="B35" s="1" t="s">
        <v>31</v>
      </c>
      <c r="C35" s="1" t="s">
        <v>32</v>
      </c>
      <c r="D35" s="1" t="s">
        <v>41</v>
      </c>
      <c r="E35" s="1" t="e">
        <f>COUNTIFS('F4'!#REF!,B35,'F4'!A2:A7,C35,'F4'!B2:B7,D35,'F4'!F2:F7,"F2")</f>
        <v>#REF!</v>
      </c>
      <c r="F35" s="1" t="e">
        <f>COUNTIFS('F4'!#REF!,B35,'F4'!A2:A7,C35,'F4'!B2:B7,D35,'F4'!F2:F7,"F4")</f>
        <v>#REF!</v>
      </c>
      <c r="G35" s="1" t="e">
        <f t="shared" si="0"/>
        <v>#REF!</v>
      </c>
      <c r="H35" s="1" t="e">
        <f>COUNTIFS('F4'!#REF!,B35,'F4'!A2:A7,C35,'F4'!B2:B7,D35,'F4'!I2:I7,"Trước RS")</f>
        <v>#REF!</v>
      </c>
      <c r="I35" s="1" t="e">
        <f>COUNTIFS('F4'!#REF!,B35,'F4'!A2:A7,C35,'F4'!B2:B7,D35,'F4'!I2:I7,"Sau RS")</f>
        <v>#REF!</v>
      </c>
      <c r="J35" s="6" t="e">
        <f>SUMIFS('F4'!H2:H7,'F4'!#REF!,B35,'F4'!A2:A7,C35,'F4'!B2:B7,D35)</f>
        <v>#REF!</v>
      </c>
      <c r="K35" s="7" t="e">
        <f t="shared" si="1"/>
        <v>#REF!</v>
      </c>
    </row>
    <row r="36" spans="1:11" ht="24" customHeight="1">
      <c r="A36" s="1" t="s">
        <v>9</v>
      </c>
      <c r="B36" s="1" t="s">
        <v>31</v>
      </c>
      <c r="C36" s="1" t="s">
        <v>32</v>
      </c>
      <c r="D36" s="1" t="s">
        <v>42</v>
      </c>
      <c r="E36" s="1" t="e">
        <f>COUNTIFS('F4'!#REF!,B36,'F4'!A2:A7,C36,'F4'!B2:B7,D36,'F4'!F2:F7,"F2")</f>
        <v>#REF!</v>
      </c>
      <c r="F36" s="1" t="e">
        <f>COUNTIFS('F4'!#REF!,B36,'F4'!A2:A7,C36,'F4'!B2:B7,D36,'F4'!F2:F7,"F4")</f>
        <v>#REF!</v>
      </c>
      <c r="G36" s="1" t="e">
        <f t="shared" si="0"/>
        <v>#REF!</v>
      </c>
      <c r="H36" s="1" t="e">
        <f>COUNTIFS('F4'!#REF!,B36,'F4'!A2:A7,C36,'F4'!B2:B7,D36,'F4'!I2:I7,"Trước RS")</f>
        <v>#REF!</v>
      </c>
      <c r="I36" s="1" t="e">
        <f>COUNTIFS('F4'!#REF!,B36,'F4'!A2:A7,C36,'F4'!B2:B7,D36,'F4'!I2:I7,"Sau RS")</f>
        <v>#REF!</v>
      </c>
      <c r="J36" s="6" t="e">
        <f>SUMIFS('F4'!H2:H7,'F4'!#REF!,B36,'F4'!A2:A7,C36,'F4'!B2:B7,D36)</f>
        <v>#REF!</v>
      </c>
      <c r="K36" s="7" t="e">
        <f t="shared" si="1"/>
        <v>#REF!</v>
      </c>
    </row>
    <row r="37" spans="1:11" ht="24" customHeight="1">
      <c r="A37" s="3" t="s">
        <v>8</v>
      </c>
      <c r="B37" s="3" t="s">
        <v>31</v>
      </c>
      <c r="C37" s="3" t="s">
        <v>43</v>
      </c>
      <c r="D37" s="3"/>
      <c r="E37" s="3" t="e">
        <f>COUNTIFS('F4'!#REF!,B37,'F4'!A2:A7,C37,'F4'!F2:F7,"F2")</f>
        <v>#REF!</v>
      </c>
      <c r="F37" s="3" t="e">
        <f>COUNTIFS('F4'!#REF!,B37,'F4'!A2:A7,C37,'F4'!F2:F7,"F4")</f>
        <v>#REF!</v>
      </c>
      <c r="G37" s="3" t="e">
        <f t="shared" si="0"/>
        <v>#REF!</v>
      </c>
      <c r="H37" s="3" t="e">
        <f>COUNTIFS('F4'!#REF!,B37,'F4'!A2:A7,C37,'F4'!I2:I7,"Trước RS")</f>
        <v>#REF!</v>
      </c>
      <c r="I37" s="3" t="e">
        <f>COUNTIFS('F4'!#REF!,B37,'F4'!A2:A7,C37,'F4'!I2:I7,"Sau RS")</f>
        <v>#REF!</v>
      </c>
      <c r="J37" s="9" t="e">
        <f>SUMIFS('F4'!H2:H7,'F4'!#REF!,B37,'F4'!A2:A7,C37)</f>
        <v>#REF!</v>
      </c>
      <c r="K37" s="11" t="e">
        <f t="shared" si="1"/>
        <v>#REF!</v>
      </c>
    </row>
    <row r="38" spans="1:11" ht="24" customHeight="1">
      <c r="A38" s="1" t="s">
        <v>9</v>
      </c>
      <c r="B38" s="1" t="s">
        <v>31</v>
      </c>
      <c r="C38" s="1" t="s">
        <v>43</v>
      </c>
      <c r="D38" s="1" t="s">
        <v>44</v>
      </c>
      <c r="E38" s="1" t="e">
        <f>COUNTIFS('F4'!#REF!,B38,'F4'!A2:A7,C38,'F4'!B2:B7,D38,'F4'!F2:F7,"F2")</f>
        <v>#REF!</v>
      </c>
      <c r="F38" s="1" t="e">
        <f>COUNTIFS('F4'!#REF!,B38,'F4'!A2:A7,C38,'F4'!B2:B7,D38,'F4'!F2:F7,"F4")</f>
        <v>#REF!</v>
      </c>
      <c r="G38" s="1" t="e">
        <f t="shared" si="0"/>
        <v>#REF!</v>
      </c>
      <c r="H38" s="1" t="e">
        <f>COUNTIFS('F4'!#REF!,B38,'F4'!A2:A7,C38,'F4'!B2:B7,D38,'F4'!I2:I7,"Trước RS")</f>
        <v>#REF!</v>
      </c>
      <c r="I38" s="1" t="e">
        <f>COUNTIFS('F4'!#REF!,B38,'F4'!A2:A7,C38,'F4'!B2:B7,D38,'F4'!I2:I7,"Sau RS")</f>
        <v>#REF!</v>
      </c>
      <c r="J38" s="6" t="e">
        <f>SUMIFS('F4'!H2:H7,'F4'!#REF!,B38,'F4'!A2:A7,C38,'F4'!B2:B7,D38)</f>
        <v>#REF!</v>
      </c>
      <c r="K38" s="7" t="e">
        <f t="shared" si="1"/>
        <v>#REF!</v>
      </c>
    </row>
    <row r="39" spans="1:11" ht="24" customHeight="1">
      <c r="A39" s="1" t="s">
        <v>9</v>
      </c>
      <c r="B39" s="1" t="s">
        <v>31</v>
      </c>
      <c r="C39" s="1" t="s">
        <v>43</v>
      </c>
      <c r="D39" s="1" t="s">
        <v>45</v>
      </c>
      <c r="E39" s="1" t="e">
        <f>COUNTIFS('F4'!#REF!,B39,'F4'!A2:A7,C39,'F4'!B2:B7,D39,'F4'!F2:F7,"F2")</f>
        <v>#REF!</v>
      </c>
      <c r="F39" s="1" t="e">
        <f>COUNTIFS('F4'!#REF!,B39,'F4'!A2:A7,C39,'F4'!B2:B7,D39,'F4'!F2:F7,"F4")</f>
        <v>#REF!</v>
      </c>
      <c r="G39" s="1" t="e">
        <f t="shared" si="0"/>
        <v>#REF!</v>
      </c>
      <c r="H39" s="1" t="e">
        <f>COUNTIFS('F4'!#REF!,B39,'F4'!A2:A7,C39,'F4'!B2:B7,D39,'F4'!I2:I7,"Trước RS")</f>
        <v>#REF!</v>
      </c>
      <c r="I39" s="1" t="e">
        <f>COUNTIFS('F4'!#REF!,B39,'F4'!A2:A7,C39,'F4'!B2:B7,D39,'F4'!I2:I7,"Sau RS")</f>
        <v>#REF!</v>
      </c>
      <c r="J39" s="6" t="e">
        <f>SUMIFS('F4'!H2:H7,'F4'!#REF!,B39,'F4'!A2:A7,C39,'F4'!B2:B7,D39)</f>
        <v>#REF!</v>
      </c>
      <c r="K39" s="7" t="e">
        <f t="shared" si="1"/>
        <v>#REF!</v>
      </c>
    </row>
    <row r="40" spans="1:11" ht="24" customHeight="1">
      <c r="A40" s="1" t="s">
        <v>9</v>
      </c>
      <c r="B40" s="1" t="s">
        <v>31</v>
      </c>
      <c r="C40" s="1" t="s">
        <v>43</v>
      </c>
      <c r="D40" s="1" t="s">
        <v>46</v>
      </c>
      <c r="E40" s="1" t="e">
        <f>COUNTIFS('F4'!#REF!,B40,'F4'!A2:A7,C40,'F4'!B2:B7,D40,'F4'!F2:F7,"F2")</f>
        <v>#REF!</v>
      </c>
      <c r="F40" s="1" t="e">
        <f>COUNTIFS('F4'!#REF!,B40,'F4'!A2:A7,C40,'F4'!B2:B7,D40,'F4'!F2:F7,"F4")</f>
        <v>#REF!</v>
      </c>
      <c r="G40" s="1" t="e">
        <f t="shared" si="0"/>
        <v>#REF!</v>
      </c>
      <c r="H40" s="1" t="e">
        <f>COUNTIFS('F4'!#REF!,B40,'F4'!A2:A7,C40,'F4'!B2:B7,D40,'F4'!I2:I7,"Trước RS")</f>
        <v>#REF!</v>
      </c>
      <c r="I40" s="1" t="e">
        <f>COUNTIFS('F4'!#REF!,B40,'F4'!A2:A7,C40,'F4'!B2:B7,D40,'F4'!I2:I7,"Sau RS")</f>
        <v>#REF!</v>
      </c>
      <c r="J40" s="6" t="e">
        <f>SUMIFS('F4'!H2:H7,'F4'!#REF!,B40,'F4'!A2:A7,C40,'F4'!B2:B7,D40)</f>
        <v>#REF!</v>
      </c>
      <c r="K40" s="7" t="e">
        <f t="shared" si="1"/>
        <v>#REF!</v>
      </c>
    </row>
    <row r="41" spans="1:11" ht="24" customHeight="1">
      <c r="A41" s="1" t="s">
        <v>9</v>
      </c>
      <c r="B41" s="1" t="s">
        <v>31</v>
      </c>
      <c r="C41" s="1" t="s">
        <v>43</v>
      </c>
      <c r="D41" s="1" t="s">
        <v>47</v>
      </c>
      <c r="E41" s="1" t="e">
        <f>COUNTIFS('F4'!#REF!,B41,'F4'!A2:A7,C41,'F4'!B2:B7,D41,'F4'!F2:F7,"F2")</f>
        <v>#REF!</v>
      </c>
      <c r="F41" s="1" t="e">
        <f>COUNTIFS('F4'!#REF!,B41,'F4'!A2:A7,C41,'F4'!B2:B7,D41,'F4'!F2:F7,"F4")</f>
        <v>#REF!</v>
      </c>
      <c r="G41" s="1" t="e">
        <f t="shared" si="0"/>
        <v>#REF!</v>
      </c>
      <c r="H41" s="1" t="e">
        <f>COUNTIFS('F4'!#REF!,B41,'F4'!A2:A7,C41,'F4'!B2:B7,D41,'F4'!I2:I7,"Trước RS")</f>
        <v>#REF!</v>
      </c>
      <c r="I41" s="1" t="e">
        <f>COUNTIFS('F4'!#REF!,B41,'F4'!A2:A7,C41,'F4'!B2:B7,D41,'F4'!I2:I7,"Sau RS")</f>
        <v>#REF!</v>
      </c>
      <c r="J41" s="6" t="e">
        <f>SUMIFS('F4'!H2:H7,'F4'!#REF!,B41,'F4'!A2:A7,C41,'F4'!B2:B7,D41)</f>
        <v>#REF!</v>
      </c>
      <c r="K41" s="7" t="e">
        <f t="shared" si="1"/>
        <v>#REF!</v>
      </c>
    </row>
    <row r="42" spans="1:11" ht="24" customHeight="1">
      <c r="A42" s="1" t="s">
        <v>9</v>
      </c>
      <c r="B42" s="1" t="s">
        <v>31</v>
      </c>
      <c r="C42" s="1" t="s">
        <v>43</v>
      </c>
      <c r="D42" s="1" t="s">
        <v>48</v>
      </c>
      <c r="E42" s="1" t="e">
        <f>COUNTIFS('F4'!#REF!,B42,'F4'!A2:A7,C42,'F4'!B2:B7,D42,'F4'!F2:F7,"F2")</f>
        <v>#REF!</v>
      </c>
      <c r="F42" s="1" t="e">
        <f>COUNTIFS('F4'!#REF!,B42,'F4'!A2:A7,C42,'F4'!B2:B7,D42,'F4'!F2:F7,"F4")</f>
        <v>#REF!</v>
      </c>
      <c r="G42" s="1" t="e">
        <f t="shared" si="0"/>
        <v>#REF!</v>
      </c>
      <c r="H42" s="1" t="e">
        <f>COUNTIFS('F4'!#REF!,B42,'F4'!A2:A7,C42,'F4'!B2:B7,D42,'F4'!I2:I7,"Trước RS")</f>
        <v>#REF!</v>
      </c>
      <c r="I42" s="1" t="e">
        <f>COUNTIFS('F4'!#REF!,B42,'F4'!A2:A7,C42,'F4'!B2:B7,D42,'F4'!I2:I7,"Sau RS")</f>
        <v>#REF!</v>
      </c>
      <c r="J42" s="6" t="e">
        <f>SUMIFS('F4'!H2:H7,'F4'!#REF!,B42,'F4'!A2:A7,C42,'F4'!B2:B7,D42)</f>
        <v>#REF!</v>
      </c>
      <c r="K42" s="7" t="e">
        <f t="shared" si="1"/>
        <v>#REF!</v>
      </c>
    </row>
    <row r="43" spans="1:11" ht="24" customHeight="1">
      <c r="A43" s="1" t="s">
        <v>9</v>
      </c>
      <c r="B43" s="1" t="s">
        <v>31</v>
      </c>
      <c r="C43" s="1" t="s">
        <v>43</v>
      </c>
      <c r="D43" s="1" t="s">
        <v>49</v>
      </c>
      <c r="E43" s="1" t="e">
        <f>COUNTIFS('F4'!#REF!,B43,'F4'!A2:A7,C43,'F4'!B2:B7,D43,'F4'!F2:F7,"F2")</f>
        <v>#REF!</v>
      </c>
      <c r="F43" s="1" t="e">
        <f>COUNTIFS('F4'!#REF!,B43,'F4'!A2:A7,C43,'F4'!B2:B7,D43,'F4'!F2:F7,"F4")</f>
        <v>#REF!</v>
      </c>
      <c r="G43" s="1" t="e">
        <f t="shared" ref="G43:G74" si="2">E43+F43</f>
        <v>#REF!</v>
      </c>
      <c r="H43" s="1" t="e">
        <f>COUNTIFS('F4'!#REF!,B43,'F4'!A2:A7,C43,'F4'!B2:B7,D43,'F4'!I2:I7,"Trước RS")</f>
        <v>#REF!</v>
      </c>
      <c r="I43" s="1" t="e">
        <f>COUNTIFS('F4'!#REF!,B43,'F4'!A2:A7,C43,'F4'!B2:B7,D43,'F4'!I2:I7,"Sau RS")</f>
        <v>#REF!</v>
      </c>
      <c r="J43" s="6" t="e">
        <f>SUMIFS('F4'!H2:H7,'F4'!#REF!,B43,'F4'!A2:A7,C43,'F4'!B2:B7,D43)</f>
        <v>#REF!</v>
      </c>
      <c r="K43" s="7" t="e">
        <f t="shared" ref="K43:K74" si="3">J43/$B$7</f>
        <v>#REF!</v>
      </c>
    </row>
    <row r="44" spans="1:11" ht="24" customHeight="1">
      <c r="A44" s="1" t="s">
        <v>9</v>
      </c>
      <c r="B44" s="1" t="s">
        <v>31</v>
      </c>
      <c r="C44" s="1" t="s">
        <v>43</v>
      </c>
      <c r="D44" s="1" t="s">
        <v>50</v>
      </c>
      <c r="E44" s="1" t="e">
        <f>COUNTIFS('F4'!#REF!,B44,'F4'!A2:A7,C44,'F4'!B2:B7,D44,'F4'!F2:F7,"F2")</f>
        <v>#REF!</v>
      </c>
      <c r="F44" s="1" t="e">
        <f>COUNTIFS('F4'!#REF!,B44,'F4'!A2:A7,C44,'F4'!B2:B7,D44,'F4'!F2:F7,"F4")</f>
        <v>#REF!</v>
      </c>
      <c r="G44" s="1" t="e">
        <f t="shared" si="2"/>
        <v>#REF!</v>
      </c>
      <c r="H44" s="1" t="e">
        <f>COUNTIFS('F4'!#REF!,B44,'F4'!A2:A7,C44,'F4'!B2:B7,D44,'F4'!I2:I7,"Trước RS")</f>
        <v>#REF!</v>
      </c>
      <c r="I44" s="1" t="e">
        <f>COUNTIFS('F4'!#REF!,B44,'F4'!A2:A7,C44,'F4'!B2:B7,D44,'F4'!I2:I7,"Sau RS")</f>
        <v>#REF!</v>
      </c>
      <c r="J44" s="6" t="e">
        <f>SUMIFS('F4'!H2:H7,'F4'!#REF!,B44,'F4'!A2:A7,C44,'F4'!B2:B7,D44)</f>
        <v>#REF!</v>
      </c>
      <c r="K44" s="7" t="e">
        <f t="shared" si="3"/>
        <v>#REF!</v>
      </c>
    </row>
    <row r="45" spans="1:11" ht="24" customHeight="1">
      <c r="A45" s="1" t="s">
        <v>9</v>
      </c>
      <c r="B45" s="1" t="s">
        <v>31</v>
      </c>
      <c r="C45" s="1" t="s">
        <v>43</v>
      </c>
      <c r="D45" s="1" t="s">
        <v>51</v>
      </c>
      <c r="E45" s="1" t="e">
        <f>COUNTIFS('F4'!#REF!,B45,'F4'!A2:A7,C45,'F4'!B2:B7,D45,'F4'!F2:F7,"F2")</f>
        <v>#REF!</v>
      </c>
      <c r="F45" s="1" t="e">
        <f>COUNTIFS('F4'!#REF!,B45,'F4'!A2:A7,C45,'F4'!B2:B7,D45,'F4'!F2:F7,"F4")</f>
        <v>#REF!</v>
      </c>
      <c r="G45" s="1" t="e">
        <f t="shared" si="2"/>
        <v>#REF!</v>
      </c>
      <c r="H45" s="1" t="e">
        <f>COUNTIFS('F4'!#REF!,B45,'F4'!A2:A7,C45,'F4'!B2:B7,D45,'F4'!I2:I7,"Trước RS")</f>
        <v>#REF!</v>
      </c>
      <c r="I45" s="1" t="e">
        <f>COUNTIFS('F4'!#REF!,B45,'F4'!A2:A7,C45,'F4'!B2:B7,D45,'F4'!I2:I7,"Sau RS")</f>
        <v>#REF!</v>
      </c>
      <c r="J45" s="6" t="e">
        <f>SUMIFS('F4'!H2:H7,'F4'!#REF!,B45,'F4'!A2:A7,C45,'F4'!B2:B7,D45)</f>
        <v>#REF!</v>
      </c>
      <c r="K45" s="7" t="e">
        <f t="shared" si="3"/>
        <v>#REF!</v>
      </c>
    </row>
    <row r="46" spans="1:11" ht="24" customHeight="1">
      <c r="A46" s="3" t="s">
        <v>8</v>
      </c>
      <c r="B46" s="3" t="s">
        <v>31</v>
      </c>
      <c r="C46" s="3" t="s">
        <v>52</v>
      </c>
      <c r="D46" s="3"/>
      <c r="E46" s="3" t="e">
        <f>COUNTIFS('F4'!#REF!,B46,'F4'!A2:A7,C46,'F4'!F2:F7,"F2")</f>
        <v>#REF!</v>
      </c>
      <c r="F46" s="3" t="e">
        <f>COUNTIFS('F4'!#REF!,B46,'F4'!A2:A7,C46,'F4'!F2:F7,"F4")</f>
        <v>#REF!</v>
      </c>
      <c r="G46" s="3" t="e">
        <f t="shared" si="2"/>
        <v>#REF!</v>
      </c>
      <c r="H46" s="3" t="e">
        <f>COUNTIFS('F4'!#REF!,B46,'F4'!A2:A7,C46,'F4'!I2:I7,"Trước RS")</f>
        <v>#REF!</v>
      </c>
      <c r="I46" s="3" t="e">
        <f>COUNTIFS('F4'!#REF!,B46,'F4'!A2:A7,C46,'F4'!I2:I7,"Sau RS")</f>
        <v>#REF!</v>
      </c>
      <c r="J46" s="9" t="e">
        <f>SUMIFS('F4'!H2:H7,'F4'!#REF!,B46,'F4'!A2:A7,C46)</f>
        <v>#REF!</v>
      </c>
      <c r="K46" s="11" t="e">
        <f t="shared" si="3"/>
        <v>#REF!</v>
      </c>
    </row>
    <row r="47" spans="1:11" ht="24" customHeight="1">
      <c r="A47" s="1" t="s">
        <v>9</v>
      </c>
      <c r="B47" s="1" t="s">
        <v>31</v>
      </c>
      <c r="C47" s="1" t="s">
        <v>52</v>
      </c>
      <c r="D47" s="1" t="s">
        <v>53</v>
      </c>
      <c r="E47" s="1" t="e">
        <f>COUNTIFS('F4'!#REF!,B47,'F4'!A2:A7,C47,'F4'!B2:B7,D47,'F4'!F2:F7,"F2")</f>
        <v>#REF!</v>
      </c>
      <c r="F47" s="1" t="e">
        <f>COUNTIFS('F4'!#REF!,B47,'F4'!A2:A7,C47,'F4'!B2:B7,D47,'F4'!F2:F7,"F4")</f>
        <v>#REF!</v>
      </c>
      <c r="G47" s="1" t="e">
        <f t="shared" si="2"/>
        <v>#REF!</v>
      </c>
      <c r="H47" s="1" t="e">
        <f>COUNTIFS('F4'!#REF!,B47,'F4'!A2:A7,C47,'F4'!B2:B7,D47,'F4'!I2:I7,"Trước RS")</f>
        <v>#REF!</v>
      </c>
      <c r="I47" s="1" t="e">
        <f>COUNTIFS('F4'!#REF!,B47,'F4'!A2:A7,C47,'F4'!B2:B7,D47,'F4'!I2:I7,"Sau RS")</f>
        <v>#REF!</v>
      </c>
      <c r="J47" s="6" t="e">
        <f>SUMIFS('F4'!H2:H7,'F4'!#REF!,B47,'F4'!A2:A7,C47,'F4'!B2:B7,D47)</f>
        <v>#REF!</v>
      </c>
      <c r="K47" s="7" t="e">
        <f t="shared" si="3"/>
        <v>#REF!</v>
      </c>
    </row>
    <row r="48" spans="1:11" ht="24" customHeight="1">
      <c r="A48" s="1" t="s">
        <v>9</v>
      </c>
      <c r="B48" s="1" t="s">
        <v>31</v>
      </c>
      <c r="C48" s="1" t="s">
        <v>52</v>
      </c>
      <c r="D48" s="1" t="s">
        <v>54</v>
      </c>
      <c r="E48" s="1" t="e">
        <f>COUNTIFS('F4'!#REF!,B48,'F4'!A2:A7,C48,'F4'!B2:B7,D48,'F4'!F2:F7,"F2")</f>
        <v>#REF!</v>
      </c>
      <c r="F48" s="1" t="e">
        <f>COUNTIFS('F4'!#REF!,B48,'F4'!A2:A7,C48,'F4'!B2:B7,D48,'F4'!F2:F7,"F4")</f>
        <v>#REF!</v>
      </c>
      <c r="G48" s="1" t="e">
        <f t="shared" si="2"/>
        <v>#REF!</v>
      </c>
      <c r="H48" s="1" t="e">
        <f>COUNTIFS('F4'!#REF!,B48,'F4'!A2:A7,C48,'F4'!B2:B7,D48,'F4'!I2:I7,"Trước RS")</f>
        <v>#REF!</v>
      </c>
      <c r="I48" s="1" t="e">
        <f>COUNTIFS('F4'!#REF!,B48,'F4'!A2:A7,C48,'F4'!B2:B7,D48,'F4'!I2:I7,"Sau RS")</f>
        <v>#REF!</v>
      </c>
      <c r="J48" s="6" t="e">
        <f>SUMIFS('F4'!H2:H7,'F4'!#REF!,B48,'F4'!A2:A7,C48,'F4'!B2:B7,D48)</f>
        <v>#REF!</v>
      </c>
      <c r="K48" s="7" t="e">
        <f t="shared" si="3"/>
        <v>#REF!</v>
      </c>
    </row>
    <row r="49" spans="1:11" ht="24" customHeight="1">
      <c r="A49" s="1" t="s">
        <v>9</v>
      </c>
      <c r="B49" s="1" t="s">
        <v>31</v>
      </c>
      <c r="C49" s="1" t="s">
        <v>52</v>
      </c>
      <c r="D49" s="1" t="s">
        <v>55</v>
      </c>
      <c r="E49" s="1" t="e">
        <f>COUNTIFS('F4'!#REF!,B49,'F4'!A2:A7,C49,'F4'!B2:B7,D49,'F4'!F2:F7,"F2")</f>
        <v>#REF!</v>
      </c>
      <c r="F49" s="1" t="e">
        <f>COUNTIFS('F4'!#REF!,B49,'F4'!A2:A7,C49,'F4'!B2:B7,D49,'F4'!F2:F7,"F4")</f>
        <v>#REF!</v>
      </c>
      <c r="G49" s="1" t="e">
        <f t="shared" si="2"/>
        <v>#REF!</v>
      </c>
      <c r="H49" s="1" t="e">
        <f>COUNTIFS('F4'!#REF!,B49,'F4'!A2:A7,C49,'F4'!B2:B7,D49,'F4'!I2:I7,"Trước RS")</f>
        <v>#REF!</v>
      </c>
      <c r="I49" s="1" t="e">
        <f>COUNTIFS('F4'!#REF!,B49,'F4'!A2:A7,C49,'F4'!B2:B7,D49,'F4'!I2:I7,"Sau RS")</f>
        <v>#REF!</v>
      </c>
      <c r="J49" s="6" t="e">
        <f>SUMIFS('F4'!H2:H7,'F4'!#REF!,B49,'F4'!A2:A7,C49,'F4'!B2:B7,D49)</f>
        <v>#REF!</v>
      </c>
      <c r="K49" s="7" t="e">
        <f t="shared" si="3"/>
        <v>#REF!</v>
      </c>
    </row>
    <row r="50" spans="1:11" ht="24" customHeight="1">
      <c r="A50" s="1" t="s">
        <v>9</v>
      </c>
      <c r="B50" s="1" t="s">
        <v>31</v>
      </c>
      <c r="C50" s="1" t="s">
        <v>52</v>
      </c>
      <c r="D50" s="1" t="s">
        <v>56</v>
      </c>
      <c r="E50" s="1" t="e">
        <f>COUNTIFS('F4'!#REF!,B50,'F4'!A2:A7,C50,'F4'!B2:B7,D50,'F4'!F2:F7,"F2")</f>
        <v>#REF!</v>
      </c>
      <c r="F50" s="1" t="e">
        <f>COUNTIFS('F4'!#REF!,B50,'F4'!A2:A7,C50,'F4'!B2:B7,D50,'F4'!F2:F7,"F4")</f>
        <v>#REF!</v>
      </c>
      <c r="G50" s="1" t="e">
        <f t="shared" si="2"/>
        <v>#REF!</v>
      </c>
      <c r="H50" s="1" t="e">
        <f>COUNTIFS('F4'!#REF!,B50,'F4'!A2:A7,C50,'F4'!B2:B7,D50,'F4'!I2:I7,"Trước RS")</f>
        <v>#REF!</v>
      </c>
      <c r="I50" s="1" t="e">
        <f>COUNTIFS('F4'!#REF!,B50,'F4'!A2:A7,C50,'F4'!B2:B7,D50,'F4'!I2:I7,"Sau RS")</f>
        <v>#REF!</v>
      </c>
      <c r="J50" s="6" t="e">
        <f>SUMIFS('F4'!H2:H7,'F4'!#REF!,B50,'F4'!A2:A7,C50,'F4'!B2:B7,D50)</f>
        <v>#REF!</v>
      </c>
      <c r="K50" s="7" t="e">
        <f t="shared" si="3"/>
        <v>#REF!</v>
      </c>
    </row>
    <row r="51" spans="1:11" ht="24" customHeight="1">
      <c r="A51" s="1" t="s">
        <v>9</v>
      </c>
      <c r="B51" s="1" t="s">
        <v>31</v>
      </c>
      <c r="C51" s="1" t="s">
        <v>52</v>
      </c>
      <c r="D51" s="1" t="s">
        <v>57</v>
      </c>
      <c r="E51" s="1" t="e">
        <f>COUNTIFS('F4'!#REF!,B51,'F4'!A2:A7,C51,'F4'!B2:B7,D51,'F4'!F2:F7,"F2")</f>
        <v>#REF!</v>
      </c>
      <c r="F51" s="1" t="e">
        <f>COUNTIFS('F4'!#REF!,B51,'F4'!A2:A7,C51,'F4'!B2:B7,D51,'F4'!F2:F7,"F4")</f>
        <v>#REF!</v>
      </c>
      <c r="G51" s="1" t="e">
        <f t="shared" si="2"/>
        <v>#REF!</v>
      </c>
      <c r="H51" s="1" t="e">
        <f>COUNTIFS('F4'!#REF!,B51,'F4'!A2:A7,C51,'F4'!B2:B7,D51,'F4'!I2:I7,"Trước RS")</f>
        <v>#REF!</v>
      </c>
      <c r="I51" s="1" t="e">
        <f>COUNTIFS('F4'!#REF!,B51,'F4'!A2:A7,C51,'F4'!B2:B7,D51,'F4'!I2:I7,"Sau RS")</f>
        <v>#REF!</v>
      </c>
      <c r="J51" s="6" t="e">
        <f>SUMIFS('F4'!H2:H7,'F4'!#REF!,B51,'F4'!A2:A7,C51,'F4'!B2:B7,D51)</f>
        <v>#REF!</v>
      </c>
      <c r="K51" s="7" t="e">
        <f t="shared" si="3"/>
        <v>#REF!</v>
      </c>
    </row>
    <row r="52" spans="1:11" ht="24" customHeight="1">
      <c r="A52" s="1" t="s">
        <v>9</v>
      </c>
      <c r="B52" s="1" t="s">
        <v>31</v>
      </c>
      <c r="C52" s="1" t="s">
        <v>52</v>
      </c>
      <c r="D52" s="1" t="s">
        <v>58</v>
      </c>
      <c r="E52" s="1" t="e">
        <f>COUNTIFS('F4'!#REF!,B52,'F4'!A2:A7,C52,'F4'!B2:B7,D52,'F4'!F2:F7,"F2")</f>
        <v>#REF!</v>
      </c>
      <c r="F52" s="1" t="e">
        <f>COUNTIFS('F4'!#REF!,B52,'F4'!A2:A7,C52,'F4'!B2:B7,D52,'F4'!F2:F7,"F4")</f>
        <v>#REF!</v>
      </c>
      <c r="G52" s="1" t="e">
        <f t="shared" si="2"/>
        <v>#REF!</v>
      </c>
      <c r="H52" s="1" t="e">
        <f>COUNTIFS('F4'!#REF!,B52,'F4'!A2:A7,C52,'F4'!B2:B7,D52,'F4'!I2:I7,"Trước RS")</f>
        <v>#REF!</v>
      </c>
      <c r="I52" s="1" t="e">
        <f>COUNTIFS('F4'!#REF!,B52,'F4'!A2:A7,C52,'F4'!B2:B7,D52,'F4'!I2:I7,"Sau RS")</f>
        <v>#REF!</v>
      </c>
      <c r="J52" s="6" t="e">
        <f>SUMIFS('F4'!H2:H7,'F4'!#REF!,B52,'F4'!A2:A7,C52,'F4'!B2:B7,D52)</f>
        <v>#REF!</v>
      </c>
      <c r="K52" s="7" t="e">
        <f t="shared" si="3"/>
        <v>#REF!</v>
      </c>
    </row>
    <row r="53" spans="1:11" ht="24" customHeight="1">
      <c r="A53" s="1" t="s">
        <v>9</v>
      </c>
      <c r="B53" s="1" t="s">
        <v>31</v>
      </c>
      <c r="C53" s="1" t="s">
        <v>52</v>
      </c>
      <c r="D53" s="1" t="s">
        <v>59</v>
      </c>
      <c r="E53" s="1" t="e">
        <f>COUNTIFS('F4'!#REF!,B53,'F4'!A2:A7,C53,'F4'!B2:B7,D53,'F4'!F2:F7,"F2")</f>
        <v>#REF!</v>
      </c>
      <c r="F53" s="1" t="e">
        <f>COUNTIFS('F4'!#REF!,B53,'F4'!A2:A7,C53,'F4'!B2:B7,D53,'F4'!F2:F7,"F4")</f>
        <v>#REF!</v>
      </c>
      <c r="G53" s="1" t="e">
        <f t="shared" si="2"/>
        <v>#REF!</v>
      </c>
      <c r="H53" s="1" t="e">
        <f>COUNTIFS('F4'!#REF!,B53,'F4'!A2:A7,C53,'F4'!B2:B7,D53,'F4'!I2:I7,"Trước RS")</f>
        <v>#REF!</v>
      </c>
      <c r="I53" s="1" t="e">
        <f>COUNTIFS('F4'!#REF!,B53,'F4'!A2:A7,C53,'F4'!B2:B7,D53,'F4'!I2:I7,"Sau RS")</f>
        <v>#REF!</v>
      </c>
      <c r="J53" s="6" t="e">
        <f>SUMIFS('F4'!H2:H7,'F4'!#REF!,B53,'F4'!A2:A7,C53,'F4'!B2:B7,D53)</f>
        <v>#REF!</v>
      </c>
      <c r="K53" s="7" t="e">
        <f t="shared" si="3"/>
        <v>#REF!</v>
      </c>
    </row>
    <row r="54" spans="1:11" ht="24" customHeight="1">
      <c r="A54" s="1" t="s">
        <v>9</v>
      </c>
      <c r="B54" s="1" t="s">
        <v>31</v>
      </c>
      <c r="C54" s="1" t="s">
        <v>52</v>
      </c>
      <c r="D54" s="1" t="s">
        <v>60</v>
      </c>
      <c r="E54" s="1" t="e">
        <f>COUNTIFS('F4'!#REF!,B54,'F4'!A2:A7,C54,'F4'!B2:B7,D54,'F4'!F2:F7,"F2")</f>
        <v>#REF!</v>
      </c>
      <c r="F54" s="1" t="e">
        <f>COUNTIFS('F4'!#REF!,B54,'F4'!A2:A7,C54,'F4'!B2:B7,D54,'F4'!F2:F7,"F4")</f>
        <v>#REF!</v>
      </c>
      <c r="G54" s="1" t="e">
        <f t="shared" si="2"/>
        <v>#REF!</v>
      </c>
      <c r="H54" s="1" t="e">
        <f>COUNTIFS('F4'!#REF!,B54,'F4'!A2:A7,C54,'F4'!B2:B7,D54,'F4'!I2:I7,"Trước RS")</f>
        <v>#REF!</v>
      </c>
      <c r="I54" s="1" t="e">
        <f>COUNTIFS('F4'!#REF!,B54,'F4'!A2:A7,C54,'F4'!B2:B7,D54,'F4'!I2:I7,"Sau RS")</f>
        <v>#REF!</v>
      </c>
      <c r="J54" s="6" t="e">
        <f>SUMIFS('F4'!H2:H7,'F4'!#REF!,B54,'F4'!A2:A7,C54,'F4'!B2:B7,D54)</f>
        <v>#REF!</v>
      </c>
      <c r="K54" s="7" t="e">
        <f t="shared" si="3"/>
        <v>#REF!</v>
      </c>
    </row>
    <row r="55" spans="1:11" ht="24" customHeight="1">
      <c r="A55" s="1" t="s">
        <v>9</v>
      </c>
      <c r="B55" s="1" t="s">
        <v>31</v>
      </c>
      <c r="C55" s="1" t="s">
        <v>52</v>
      </c>
      <c r="D55" s="1" t="s">
        <v>61</v>
      </c>
      <c r="E55" s="1" t="e">
        <f>COUNTIFS('F4'!#REF!,B55,'F4'!A2:A7,C55,'F4'!B2:B7,D55,'F4'!F2:F7,"F2")</f>
        <v>#REF!</v>
      </c>
      <c r="F55" s="1" t="e">
        <f>COUNTIFS('F4'!#REF!,B55,'F4'!A2:A7,C55,'F4'!B2:B7,D55,'F4'!F2:F7,"F4")</f>
        <v>#REF!</v>
      </c>
      <c r="G55" s="1" t="e">
        <f t="shared" si="2"/>
        <v>#REF!</v>
      </c>
      <c r="H55" s="1" t="e">
        <f>COUNTIFS('F4'!#REF!,B55,'F4'!A2:A7,C55,'F4'!B2:B7,D55,'F4'!I2:I7,"Trước RS")</f>
        <v>#REF!</v>
      </c>
      <c r="I55" s="1" t="e">
        <f>COUNTIFS('F4'!#REF!,B55,'F4'!A2:A7,C55,'F4'!B2:B7,D55,'F4'!I2:I7,"Sau RS")</f>
        <v>#REF!</v>
      </c>
      <c r="J55" s="6" t="e">
        <f>SUMIFS('F4'!H2:H7,'F4'!#REF!,B55,'F4'!A2:A7,C55,'F4'!B2:B7,D55)</f>
        <v>#REF!</v>
      </c>
      <c r="K55" s="7" t="e">
        <f t="shared" si="3"/>
        <v>#REF!</v>
      </c>
    </row>
    <row r="56" spans="1:11" ht="24" customHeight="1">
      <c r="A56" s="1" t="s">
        <v>9</v>
      </c>
      <c r="B56" s="1" t="s">
        <v>31</v>
      </c>
      <c r="C56" s="1" t="s">
        <v>52</v>
      </c>
      <c r="D56" s="1" t="s">
        <v>62</v>
      </c>
      <c r="E56" s="1" t="e">
        <f>COUNTIFS('F4'!#REF!,B56,'F4'!A2:A7,C56,'F4'!B2:B7,D56,'F4'!F2:F7,"F2")</f>
        <v>#REF!</v>
      </c>
      <c r="F56" s="1" t="e">
        <f>COUNTIFS('F4'!#REF!,B56,'F4'!A2:A7,C56,'F4'!B2:B7,D56,'F4'!F2:F7,"F4")</f>
        <v>#REF!</v>
      </c>
      <c r="G56" s="1" t="e">
        <f t="shared" si="2"/>
        <v>#REF!</v>
      </c>
      <c r="H56" s="1" t="e">
        <f>COUNTIFS('F4'!#REF!,B56,'F4'!A2:A7,C56,'F4'!B2:B7,D56,'F4'!I2:I7,"Trước RS")</f>
        <v>#REF!</v>
      </c>
      <c r="I56" s="1" t="e">
        <f>COUNTIFS('F4'!#REF!,B56,'F4'!A2:A7,C56,'F4'!B2:B7,D56,'F4'!I2:I7,"Sau RS")</f>
        <v>#REF!</v>
      </c>
      <c r="J56" s="6" t="e">
        <f>SUMIFS('F4'!H2:H7,'F4'!#REF!,B56,'F4'!A2:A7,C56,'F4'!B2:B7,D56)</f>
        <v>#REF!</v>
      </c>
      <c r="K56" s="7" t="e">
        <f t="shared" si="3"/>
        <v>#REF!</v>
      </c>
    </row>
    <row r="57" spans="1:11" ht="24" customHeight="1">
      <c r="A57" s="2" t="s">
        <v>7</v>
      </c>
      <c r="B57" s="2" t="s">
        <v>63</v>
      </c>
      <c r="C57" s="2"/>
      <c r="D57" s="2"/>
      <c r="E57" s="2" t="e">
        <f>COUNTIFS('F4'!#REF!,B57,'F4'!F2:F7,"F2")</f>
        <v>#REF!</v>
      </c>
      <c r="F57" s="2" t="e">
        <f>COUNTIFS('F4'!#REF!,B57,'F4'!F2:F7,"F4")</f>
        <v>#REF!</v>
      </c>
      <c r="G57" s="2" t="e">
        <f t="shared" si="2"/>
        <v>#REF!</v>
      </c>
      <c r="H57" s="2" t="e">
        <f>COUNTIFS('F4'!#REF!,B57,'F4'!I2:I7,"Trước RS")</f>
        <v>#REF!</v>
      </c>
      <c r="I57" s="2" t="e">
        <f>COUNTIFS('F4'!#REF!,B57,'F4'!I2:I7,"Sau RS")</f>
        <v>#REF!</v>
      </c>
      <c r="J57" s="8" t="e">
        <f>SUMIFS('F4'!H2:H7,'F4'!#REF!,B57)</f>
        <v>#REF!</v>
      </c>
      <c r="K57" s="10" t="e">
        <f t="shared" si="3"/>
        <v>#REF!</v>
      </c>
    </row>
    <row r="58" spans="1:11" ht="24" customHeight="1">
      <c r="A58" s="3" t="s">
        <v>8</v>
      </c>
      <c r="B58" s="3" t="s">
        <v>63</v>
      </c>
      <c r="C58" s="3" t="s">
        <v>64</v>
      </c>
      <c r="D58" s="3"/>
      <c r="E58" s="3" t="e">
        <f>COUNTIFS('F4'!#REF!,B58,'F4'!A2:A7,C58,'F4'!F2:F7,"F2")</f>
        <v>#REF!</v>
      </c>
      <c r="F58" s="3" t="e">
        <f>COUNTIFS('F4'!#REF!,B58,'F4'!A2:A7,C58,'F4'!F2:F7,"F4")</f>
        <v>#REF!</v>
      </c>
      <c r="G58" s="3" t="e">
        <f t="shared" si="2"/>
        <v>#REF!</v>
      </c>
      <c r="H58" s="3" t="e">
        <f>COUNTIFS('F4'!#REF!,B58,'F4'!A2:A7,C58,'F4'!I2:I7,"Trước RS")</f>
        <v>#REF!</v>
      </c>
      <c r="I58" s="3" t="e">
        <f>COUNTIFS('F4'!#REF!,B58,'F4'!A2:A7,C58,'F4'!I2:I7,"Sau RS")</f>
        <v>#REF!</v>
      </c>
      <c r="J58" s="9" t="e">
        <f>SUMIFS('F4'!H2:H7,'F4'!#REF!,B58,'F4'!A2:A7,C58)</f>
        <v>#REF!</v>
      </c>
      <c r="K58" s="11" t="e">
        <f t="shared" si="3"/>
        <v>#REF!</v>
      </c>
    </row>
    <row r="59" spans="1:11" ht="24" customHeight="1">
      <c r="A59" s="1" t="s">
        <v>9</v>
      </c>
      <c r="B59" s="1" t="s">
        <v>63</v>
      </c>
      <c r="C59" s="1" t="s">
        <v>64</v>
      </c>
      <c r="D59" s="1" t="s">
        <v>65</v>
      </c>
      <c r="E59" s="1" t="e">
        <f>COUNTIFS('F4'!#REF!,B59,'F4'!A2:A7,C59,'F4'!B2:B7,D59,'F4'!F2:F7,"F2")</f>
        <v>#REF!</v>
      </c>
      <c r="F59" s="1" t="e">
        <f>COUNTIFS('F4'!#REF!,B59,'F4'!A2:A7,C59,'F4'!B2:B7,D59,'F4'!F2:F7,"F4")</f>
        <v>#REF!</v>
      </c>
      <c r="G59" s="1" t="e">
        <f t="shared" si="2"/>
        <v>#REF!</v>
      </c>
      <c r="H59" s="1" t="e">
        <f>COUNTIFS('F4'!#REF!,B59,'F4'!A2:A7,C59,'F4'!B2:B7,D59,'F4'!I2:I7,"Trước RS")</f>
        <v>#REF!</v>
      </c>
      <c r="I59" s="1" t="e">
        <f>COUNTIFS('F4'!#REF!,B59,'F4'!A2:A7,C59,'F4'!B2:B7,D59,'F4'!I2:I7,"Sau RS")</f>
        <v>#REF!</v>
      </c>
      <c r="J59" s="6" t="e">
        <f>SUMIFS('F4'!H2:H7,'F4'!#REF!,B59,'F4'!A2:A7,C59,'F4'!B2:B7,D59)</f>
        <v>#REF!</v>
      </c>
      <c r="K59" s="7" t="e">
        <f t="shared" si="3"/>
        <v>#REF!</v>
      </c>
    </row>
    <row r="60" spans="1:11" ht="24" customHeight="1">
      <c r="A60" s="1" t="s">
        <v>9</v>
      </c>
      <c r="B60" s="1" t="s">
        <v>63</v>
      </c>
      <c r="C60" s="1" t="s">
        <v>64</v>
      </c>
      <c r="D60" s="1" t="s">
        <v>66</v>
      </c>
      <c r="E60" s="1" t="e">
        <f>COUNTIFS('F4'!#REF!,B60,'F4'!A2:A7,C60,'F4'!B2:B7,D60,'F4'!F2:F7,"F2")</f>
        <v>#REF!</v>
      </c>
      <c r="F60" s="1" t="e">
        <f>COUNTIFS('F4'!#REF!,B60,'F4'!A2:A7,C60,'F4'!B2:B7,D60,'F4'!F2:F7,"F4")</f>
        <v>#REF!</v>
      </c>
      <c r="G60" s="1" t="e">
        <f t="shared" si="2"/>
        <v>#REF!</v>
      </c>
      <c r="H60" s="1" t="e">
        <f>COUNTIFS('F4'!#REF!,B60,'F4'!A2:A7,C60,'F4'!B2:B7,D60,'F4'!I2:I7,"Trước RS")</f>
        <v>#REF!</v>
      </c>
      <c r="I60" s="1" t="e">
        <f>COUNTIFS('F4'!#REF!,B60,'F4'!A2:A7,C60,'F4'!B2:B7,D60,'F4'!I2:I7,"Sau RS")</f>
        <v>#REF!</v>
      </c>
      <c r="J60" s="6" t="e">
        <f>SUMIFS('F4'!H2:H7,'F4'!#REF!,B60,'F4'!A2:A7,C60,'F4'!B2:B7,D60)</f>
        <v>#REF!</v>
      </c>
      <c r="K60" s="7" t="e">
        <f t="shared" si="3"/>
        <v>#REF!</v>
      </c>
    </row>
    <row r="61" spans="1:11" ht="24" customHeight="1">
      <c r="A61" s="1" t="s">
        <v>9</v>
      </c>
      <c r="B61" s="1" t="s">
        <v>63</v>
      </c>
      <c r="C61" s="1" t="s">
        <v>64</v>
      </c>
      <c r="D61" s="1" t="s">
        <v>67</v>
      </c>
      <c r="E61" s="1" t="e">
        <f>COUNTIFS('F4'!#REF!,B61,'F4'!A2:A7,C61,'F4'!B2:B7,D61,'F4'!F2:F7,"F2")</f>
        <v>#REF!</v>
      </c>
      <c r="F61" s="1" t="e">
        <f>COUNTIFS('F4'!#REF!,B61,'F4'!A2:A7,C61,'F4'!B2:B7,D61,'F4'!F2:F7,"F4")</f>
        <v>#REF!</v>
      </c>
      <c r="G61" s="1" t="e">
        <f t="shared" si="2"/>
        <v>#REF!</v>
      </c>
      <c r="H61" s="1" t="e">
        <f>COUNTIFS('F4'!#REF!,B61,'F4'!A2:A7,C61,'F4'!B2:B7,D61,'F4'!I2:I7,"Trước RS")</f>
        <v>#REF!</v>
      </c>
      <c r="I61" s="1" t="e">
        <f>COUNTIFS('F4'!#REF!,B61,'F4'!A2:A7,C61,'F4'!B2:B7,D61,'F4'!I2:I7,"Sau RS")</f>
        <v>#REF!</v>
      </c>
      <c r="J61" s="6" t="e">
        <f>SUMIFS('F4'!H2:H7,'F4'!#REF!,B61,'F4'!A2:A7,C61,'F4'!B2:B7,D61)</f>
        <v>#REF!</v>
      </c>
      <c r="K61" s="7" t="e">
        <f t="shared" si="3"/>
        <v>#REF!</v>
      </c>
    </row>
    <row r="62" spans="1:11" ht="24" customHeight="1">
      <c r="A62" s="1" t="s">
        <v>9</v>
      </c>
      <c r="B62" s="1" t="s">
        <v>63</v>
      </c>
      <c r="C62" s="1" t="s">
        <v>64</v>
      </c>
      <c r="D62" s="1" t="s">
        <v>68</v>
      </c>
      <c r="E62" s="1" t="e">
        <f>COUNTIFS('F4'!#REF!,B62,'F4'!A2:A7,C62,'F4'!B2:B7,D62,'F4'!F2:F7,"F2")</f>
        <v>#REF!</v>
      </c>
      <c r="F62" s="1" t="e">
        <f>COUNTIFS('F4'!#REF!,B62,'F4'!A2:A7,C62,'F4'!B2:B7,D62,'F4'!F2:F7,"F4")</f>
        <v>#REF!</v>
      </c>
      <c r="G62" s="1" t="e">
        <f t="shared" si="2"/>
        <v>#REF!</v>
      </c>
      <c r="H62" s="1" t="e">
        <f>COUNTIFS('F4'!#REF!,B62,'F4'!A2:A7,C62,'F4'!B2:B7,D62,'F4'!I2:I7,"Trước RS")</f>
        <v>#REF!</v>
      </c>
      <c r="I62" s="1" t="e">
        <f>COUNTIFS('F4'!#REF!,B62,'F4'!A2:A7,C62,'F4'!B2:B7,D62,'F4'!I2:I7,"Sau RS")</f>
        <v>#REF!</v>
      </c>
      <c r="J62" s="6" t="e">
        <f>SUMIFS('F4'!H2:H7,'F4'!#REF!,B62,'F4'!A2:A7,C62,'F4'!B2:B7,D62)</f>
        <v>#REF!</v>
      </c>
      <c r="K62" s="7" t="e">
        <f t="shared" si="3"/>
        <v>#REF!</v>
      </c>
    </row>
    <row r="63" spans="1:11" ht="24" customHeight="1">
      <c r="A63" s="1" t="s">
        <v>9</v>
      </c>
      <c r="B63" s="1" t="s">
        <v>63</v>
      </c>
      <c r="C63" s="1" t="s">
        <v>64</v>
      </c>
      <c r="D63" s="1" t="s">
        <v>69</v>
      </c>
      <c r="E63" s="1" t="e">
        <f>COUNTIFS('F4'!#REF!,B63,'F4'!A2:A7,C63,'F4'!B2:B7,D63,'F4'!F2:F7,"F2")</f>
        <v>#REF!</v>
      </c>
      <c r="F63" s="1" t="e">
        <f>COUNTIFS('F4'!#REF!,B63,'F4'!A2:A7,C63,'F4'!B2:B7,D63,'F4'!F2:F7,"F4")</f>
        <v>#REF!</v>
      </c>
      <c r="G63" s="1" t="e">
        <f t="shared" si="2"/>
        <v>#REF!</v>
      </c>
      <c r="H63" s="1" t="e">
        <f>COUNTIFS('F4'!#REF!,B63,'F4'!A2:A7,C63,'F4'!B2:B7,D63,'F4'!I2:I7,"Trước RS")</f>
        <v>#REF!</v>
      </c>
      <c r="I63" s="1" t="e">
        <f>COUNTIFS('F4'!#REF!,B63,'F4'!A2:A7,C63,'F4'!B2:B7,D63,'F4'!I2:I7,"Sau RS")</f>
        <v>#REF!</v>
      </c>
      <c r="J63" s="6" t="e">
        <f>SUMIFS('F4'!H2:H7,'F4'!#REF!,B63,'F4'!A2:A7,C63,'F4'!B2:B7,D63)</f>
        <v>#REF!</v>
      </c>
      <c r="K63" s="7" t="e">
        <f t="shared" si="3"/>
        <v>#REF!</v>
      </c>
    </row>
    <row r="64" spans="1:11" ht="24" customHeight="1">
      <c r="A64" s="1" t="s">
        <v>9</v>
      </c>
      <c r="B64" s="1" t="s">
        <v>63</v>
      </c>
      <c r="C64" s="1" t="s">
        <v>64</v>
      </c>
      <c r="D64" s="1" t="s">
        <v>70</v>
      </c>
      <c r="E64" s="1" t="e">
        <f>COUNTIFS('F4'!#REF!,B64,'F4'!A2:A7,C64,'F4'!B2:B7,D64,'F4'!F2:F7,"F2")</f>
        <v>#REF!</v>
      </c>
      <c r="F64" s="1" t="e">
        <f>COUNTIFS('F4'!#REF!,B64,'F4'!A2:A7,C64,'F4'!B2:B7,D64,'F4'!F2:F7,"F4")</f>
        <v>#REF!</v>
      </c>
      <c r="G64" s="1" t="e">
        <f t="shared" si="2"/>
        <v>#REF!</v>
      </c>
      <c r="H64" s="1" t="e">
        <f>COUNTIFS('F4'!#REF!,B64,'F4'!A2:A7,C64,'F4'!B2:B7,D64,'F4'!I2:I7,"Trước RS")</f>
        <v>#REF!</v>
      </c>
      <c r="I64" s="1" t="e">
        <f>COUNTIFS('F4'!#REF!,B64,'F4'!A2:A7,C64,'F4'!B2:B7,D64,'F4'!I2:I7,"Sau RS")</f>
        <v>#REF!</v>
      </c>
      <c r="J64" s="6" t="e">
        <f>SUMIFS('F4'!H2:H7,'F4'!#REF!,B64,'F4'!A2:A7,C64,'F4'!B2:B7,D64)</f>
        <v>#REF!</v>
      </c>
      <c r="K64" s="7" t="e">
        <f t="shared" si="3"/>
        <v>#REF!</v>
      </c>
    </row>
    <row r="65" spans="1:11" ht="24" customHeight="1">
      <c r="A65" s="1" t="s">
        <v>9</v>
      </c>
      <c r="B65" s="1" t="s">
        <v>63</v>
      </c>
      <c r="C65" s="1" t="s">
        <v>64</v>
      </c>
      <c r="D65" s="1" t="s">
        <v>71</v>
      </c>
      <c r="E65" s="1" t="e">
        <f>COUNTIFS('F4'!#REF!,B65,'F4'!A2:A7,C65,'F4'!B2:B7,D65,'F4'!F2:F7,"F2")</f>
        <v>#REF!</v>
      </c>
      <c r="F65" s="1" t="e">
        <f>COUNTIFS('F4'!#REF!,B65,'F4'!A2:A7,C65,'F4'!B2:B7,D65,'F4'!F2:F7,"F4")</f>
        <v>#REF!</v>
      </c>
      <c r="G65" s="1" t="e">
        <f t="shared" si="2"/>
        <v>#REF!</v>
      </c>
      <c r="H65" s="1" t="e">
        <f>COUNTIFS('F4'!#REF!,B65,'F4'!A2:A7,C65,'F4'!B2:B7,D65,'F4'!I2:I7,"Trước RS")</f>
        <v>#REF!</v>
      </c>
      <c r="I65" s="1" t="e">
        <f>COUNTIFS('F4'!#REF!,B65,'F4'!A2:A7,C65,'F4'!B2:B7,D65,'F4'!I2:I7,"Sau RS")</f>
        <v>#REF!</v>
      </c>
      <c r="J65" s="6" t="e">
        <f>SUMIFS('F4'!H2:H7,'F4'!#REF!,B65,'F4'!A2:A7,C65,'F4'!B2:B7,D65)</f>
        <v>#REF!</v>
      </c>
      <c r="K65" s="7" t="e">
        <f t="shared" si="3"/>
        <v>#REF!</v>
      </c>
    </row>
    <row r="66" spans="1:11" ht="24" customHeight="1">
      <c r="A66" s="2" t="s">
        <v>7</v>
      </c>
      <c r="B66" s="2" t="s">
        <v>72</v>
      </c>
      <c r="C66" s="2"/>
      <c r="D66" s="2"/>
      <c r="E66" s="2" t="e">
        <f>COUNTIFS('F4'!#REF!,B66,'F4'!F2:F7,"F2")</f>
        <v>#REF!</v>
      </c>
      <c r="F66" s="2" t="e">
        <f>COUNTIFS('F4'!#REF!,B66,'F4'!F2:F7,"F4")</f>
        <v>#REF!</v>
      </c>
      <c r="G66" s="2" t="e">
        <f t="shared" si="2"/>
        <v>#REF!</v>
      </c>
      <c r="H66" s="2" t="e">
        <f>COUNTIFS('F4'!#REF!,B66,'F4'!I2:I7,"Trước RS")</f>
        <v>#REF!</v>
      </c>
      <c r="I66" s="2" t="e">
        <f>COUNTIFS('F4'!#REF!,B66,'F4'!I2:I7,"Sau RS")</f>
        <v>#REF!</v>
      </c>
      <c r="J66" s="8" t="e">
        <f>SUMIFS('F4'!H2:H7,'F4'!#REF!,B66)</f>
        <v>#REF!</v>
      </c>
      <c r="K66" s="10" t="e">
        <f t="shared" si="3"/>
        <v>#REF!</v>
      </c>
    </row>
    <row r="67" spans="1:11" ht="24" customHeight="1">
      <c r="A67" s="3" t="s">
        <v>8</v>
      </c>
      <c r="B67" s="3" t="s">
        <v>72</v>
      </c>
      <c r="C67" s="3" t="s">
        <v>73</v>
      </c>
      <c r="D67" s="3"/>
      <c r="E67" s="3" t="e">
        <f>COUNTIFS('F4'!#REF!,B67,'F4'!A2:A7,C67,'F4'!F2:F7,"F2")</f>
        <v>#REF!</v>
      </c>
      <c r="F67" s="3" t="e">
        <f>COUNTIFS('F4'!#REF!,B67,'F4'!A2:A7,C67,'F4'!F2:F7,"F4")</f>
        <v>#REF!</v>
      </c>
      <c r="G67" s="3" t="e">
        <f t="shared" si="2"/>
        <v>#REF!</v>
      </c>
      <c r="H67" s="3" t="e">
        <f>COUNTIFS('F4'!#REF!,B67,'F4'!A2:A7,C67,'F4'!I2:I7,"Trước RS")</f>
        <v>#REF!</v>
      </c>
      <c r="I67" s="3" t="e">
        <f>COUNTIFS('F4'!#REF!,B67,'F4'!A2:A7,C67,'F4'!I2:I7,"Sau RS")</f>
        <v>#REF!</v>
      </c>
      <c r="J67" s="9" t="e">
        <f>SUMIFS('F4'!H2:H7,'F4'!#REF!,B67,'F4'!A2:A7,C67)</f>
        <v>#REF!</v>
      </c>
      <c r="K67" s="11" t="e">
        <f t="shared" si="3"/>
        <v>#REF!</v>
      </c>
    </row>
    <row r="68" spans="1:11" ht="24" customHeight="1">
      <c r="A68" s="1" t="s">
        <v>9</v>
      </c>
      <c r="B68" s="1" t="s">
        <v>72</v>
      </c>
      <c r="C68" s="1" t="s">
        <v>73</v>
      </c>
      <c r="D68" s="1" t="s">
        <v>74</v>
      </c>
      <c r="E68" s="1" t="e">
        <f>COUNTIFS('F4'!#REF!,B68,'F4'!A2:A7,C68,'F4'!B2:B7,D68,'F4'!F2:F7,"F2")</f>
        <v>#REF!</v>
      </c>
      <c r="F68" s="1" t="e">
        <f>COUNTIFS('F4'!#REF!,B68,'F4'!A2:A7,C68,'F4'!B2:B7,D68,'F4'!F2:F7,"F4")</f>
        <v>#REF!</v>
      </c>
      <c r="G68" s="1" t="e">
        <f t="shared" si="2"/>
        <v>#REF!</v>
      </c>
      <c r="H68" s="1" t="e">
        <f>COUNTIFS('F4'!#REF!,B68,'F4'!A2:A7,C68,'F4'!B2:B7,D68,'F4'!I2:I7,"Trước RS")</f>
        <v>#REF!</v>
      </c>
      <c r="I68" s="1" t="e">
        <f>COUNTIFS('F4'!#REF!,B68,'F4'!A2:A7,C68,'F4'!B2:B7,D68,'F4'!I2:I7,"Sau RS")</f>
        <v>#REF!</v>
      </c>
      <c r="J68" s="6" t="e">
        <f>SUMIFS('F4'!H2:H7,'F4'!#REF!,B68,'F4'!A2:A7,C68,'F4'!B2:B7,D68)</f>
        <v>#REF!</v>
      </c>
      <c r="K68" s="7" t="e">
        <f t="shared" si="3"/>
        <v>#REF!</v>
      </c>
    </row>
    <row r="69" spans="1:11" ht="24" customHeight="1">
      <c r="A69" s="1" t="s">
        <v>9</v>
      </c>
      <c r="B69" s="1" t="s">
        <v>72</v>
      </c>
      <c r="C69" s="1" t="s">
        <v>73</v>
      </c>
      <c r="D69" s="1" t="s">
        <v>75</v>
      </c>
      <c r="E69" s="1" t="e">
        <f>COUNTIFS('F4'!#REF!,B69,'F4'!A2:A7,C69,'F4'!B2:B7,D69,'F4'!F2:F7,"F2")</f>
        <v>#REF!</v>
      </c>
      <c r="F69" s="1" t="e">
        <f>COUNTIFS('F4'!#REF!,B69,'F4'!A2:A7,C69,'F4'!B2:B7,D69,'F4'!F2:F7,"F4")</f>
        <v>#REF!</v>
      </c>
      <c r="G69" s="1" t="e">
        <f t="shared" si="2"/>
        <v>#REF!</v>
      </c>
      <c r="H69" s="1" t="e">
        <f>COUNTIFS('F4'!#REF!,B69,'F4'!A2:A7,C69,'F4'!B2:B7,D69,'F4'!I2:I7,"Trước RS")</f>
        <v>#REF!</v>
      </c>
      <c r="I69" s="1" t="e">
        <f>COUNTIFS('F4'!#REF!,B69,'F4'!A2:A7,C69,'F4'!B2:B7,D69,'F4'!I2:I7,"Sau RS")</f>
        <v>#REF!</v>
      </c>
      <c r="J69" s="6" t="e">
        <f>SUMIFS('F4'!H2:H7,'F4'!#REF!,B69,'F4'!A2:A7,C69,'F4'!B2:B7,D69)</f>
        <v>#REF!</v>
      </c>
      <c r="K69" s="7" t="e">
        <f t="shared" si="3"/>
        <v>#REF!</v>
      </c>
    </row>
    <row r="70" spans="1:11" ht="24" customHeight="1">
      <c r="A70" s="1" t="s">
        <v>9</v>
      </c>
      <c r="B70" s="1" t="s">
        <v>72</v>
      </c>
      <c r="C70" s="1" t="s">
        <v>73</v>
      </c>
      <c r="D70" s="1" t="s">
        <v>76</v>
      </c>
      <c r="E70" s="1" t="e">
        <f>COUNTIFS('F4'!#REF!,B70,'F4'!A2:A7,C70,'F4'!B2:B7,D70,'F4'!F2:F7,"F2")</f>
        <v>#REF!</v>
      </c>
      <c r="F70" s="1" t="e">
        <f>COUNTIFS('F4'!#REF!,B70,'F4'!A2:A7,C70,'F4'!B2:B7,D70,'F4'!F2:F7,"F4")</f>
        <v>#REF!</v>
      </c>
      <c r="G70" s="1" t="e">
        <f t="shared" si="2"/>
        <v>#REF!</v>
      </c>
      <c r="H70" s="1" t="e">
        <f>COUNTIFS('F4'!#REF!,B70,'F4'!A2:A7,C70,'F4'!B2:B7,D70,'F4'!I2:I7,"Trước RS")</f>
        <v>#REF!</v>
      </c>
      <c r="I70" s="1" t="e">
        <f>COUNTIFS('F4'!#REF!,B70,'F4'!A2:A7,C70,'F4'!B2:B7,D70,'F4'!I2:I7,"Sau RS")</f>
        <v>#REF!</v>
      </c>
      <c r="J70" s="6" t="e">
        <f>SUMIFS('F4'!H2:H7,'F4'!#REF!,B70,'F4'!A2:A7,C70,'F4'!B2:B7,D70)</f>
        <v>#REF!</v>
      </c>
      <c r="K70" s="7" t="e">
        <f t="shared" si="3"/>
        <v>#REF!</v>
      </c>
    </row>
    <row r="71" spans="1:11" ht="24" customHeight="1">
      <c r="A71" s="1" t="s">
        <v>9</v>
      </c>
      <c r="B71" s="1" t="s">
        <v>72</v>
      </c>
      <c r="C71" s="1" t="s">
        <v>73</v>
      </c>
      <c r="D71" s="1" t="s">
        <v>77</v>
      </c>
      <c r="E71" s="1" t="e">
        <f>COUNTIFS('F4'!#REF!,B71,'F4'!A2:A7,C71,'F4'!B2:B7,D71,'F4'!F2:F7,"F2")</f>
        <v>#REF!</v>
      </c>
      <c r="F71" s="1" t="e">
        <f>COUNTIFS('F4'!#REF!,B71,'F4'!A2:A7,C71,'F4'!B2:B7,D71,'F4'!F2:F7,"F4")</f>
        <v>#REF!</v>
      </c>
      <c r="G71" s="1" t="e">
        <f t="shared" si="2"/>
        <v>#REF!</v>
      </c>
      <c r="H71" s="1" t="e">
        <f>COUNTIFS('F4'!#REF!,B71,'F4'!A2:A7,C71,'F4'!B2:B7,D71,'F4'!I2:I7,"Trước RS")</f>
        <v>#REF!</v>
      </c>
      <c r="I71" s="1" t="e">
        <f>COUNTIFS('F4'!#REF!,B71,'F4'!A2:A7,C71,'F4'!B2:B7,D71,'F4'!I2:I7,"Sau RS")</f>
        <v>#REF!</v>
      </c>
      <c r="J71" s="6" t="e">
        <f>SUMIFS('F4'!H2:H7,'F4'!#REF!,B71,'F4'!A2:A7,C71,'F4'!B2:B7,D71)</f>
        <v>#REF!</v>
      </c>
      <c r="K71" s="7" t="e">
        <f t="shared" si="3"/>
        <v>#REF!</v>
      </c>
    </row>
    <row r="72" spans="1:11" ht="24" customHeight="1">
      <c r="A72" s="1" t="s">
        <v>9</v>
      </c>
      <c r="B72" s="1" t="s">
        <v>72</v>
      </c>
      <c r="C72" s="1" t="s">
        <v>73</v>
      </c>
      <c r="D72" s="1" t="s">
        <v>78</v>
      </c>
      <c r="E72" s="1" t="e">
        <f>COUNTIFS('F4'!#REF!,B72,'F4'!A2:A7,C72,'F4'!B2:B7,D72,'F4'!F2:F7,"F2")</f>
        <v>#REF!</v>
      </c>
      <c r="F72" s="1" t="e">
        <f>COUNTIFS('F4'!#REF!,B72,'F4'!A2:A7,C72,'F4'!B2:B7,D72,'F4'!F2:F7,"F4")</f>
        <v>#REF!</v>
      </c>
      <c r="G72" s="1" t="e">
        <f t="shared" si="2"/>
        <v>#REF!</v>
      </c>
      <c r="H72" s="1" t="e">
        <f>COUNTIFS('F4'!#REF!,B72,'F4'!A2:A7,C72,'F4'!B2:B7,D72,'F4'!I2:I7,"Trước RS")</f>
        <v>#REF!</v>
      </c>
      <c r="I72" s="1" t="e">
        <f>COUNTIFS('F4'!#REF!,B72,'F4'!A2:A7,C72,'F4'!B2:B7,D72,'F4'!I2:I7,"Sau RS")</f>
        <v>#REF!</v>
      </c>
      <c r="J72" s="6" t="e">
        <f>SUMIFS('F4'!H2:H7,'F4'!#REF!,B72,'F4'!A2:A7,C72,'F4'!B2:B7,D72)</f>
        <v>#REF!</v>
      </c>
      <c r="K72" s="7" t="e">
        <f t="shared" si="3"/>
        <v>#REF!</v>
      </c>
    </row>
    <row r="73" spans="1:11" ht="24" customHeight="1">
      <c r="A73" s="1" t="s">
        <v>9</v>
      </c>
      <c r="B73" s="1" t="s">
        <v>72</v>
      </c>
      <c r="C73" s="1" t="s">
        <v>73</v>
      </c>
      <c r="D73" s="1" t="s">
        <v>79</v>
      </c>
      <c r="E73" s="1" t="e">
        <f>COUNTIFS('F4'!#REF!,B73,'F4'!A2:A7,C73,'F4'!B2:B7,D73,'F4'!F2:F7,"F2")</f>
        <v>#REF!</v>
      </c>
      <c r="F73" s="1" t="e">
        <f>COUNTIFS('F4'!#REF!,B73,'F4'!A2:A7,C73,'F4'!B2:B7,D73,'F4'!F2:F7,"F4")</f>
        <v>#REF!</v>
      </c>
      <c r="G73" s="1" t="e">
        <f t="shared" si="2"/>
        <v>#REF!</v>
      </c>
      <c r="H73" s="1" t="e">
        <f>COUNTIFS('F4'!#REF!,B73,'F4'!A2:A7,C73,'F4'!B2:B7,D73,'F4'!I2:I7,"Trước RS")</f>
        <v>#REF!</v>
      </c>
      <c r="I73" s="1" t="e">
        <f>COUNTIFS('F4'!#REF!,B73,'F4'!A2:A7,C73,'F4'!B2:B7,D73,'F4'!I2:I7,"Sau RS")</f>
        <v>#REF!</v>
      </c>
      <c r="J73" s="6" t="e">
        <f>SUMIFS('F4'!H2:H7,'F4'!#REF!,B73,'F4'!A2:A7,C73,'F4'!B2:B7,D73)</f>
        <v>#REF!</v>
      </c>
      <c r="K73" s="7" t="e">
        <f t="shared" si="3"/>
        <v>#REF!</v>
      </c>
    </row>
    <row r="74" spans="1:11" ht="24" customHeight="1">
      <c r="A74" s="2" t="s">
        <v>7</v>
      </c>
      <c r="B74" s="2" t="s">
        <v>80</v>
      </c>
      <c r="C74" s="2"/>
      <c r="D74" s="2"/>
      <c r="E74" s="2" t="e">
        <f>COUNTIFS('F4'!#REF!,B74,'F4'!F2:F7,"F2")</f>
        <v>#REF!</v>
      </c>
      <c r="F74" s="2" t="e">
        <f>COUNTIFS('F4'!#REF!,B74,'F4'!F2:F7,"F4")</f>
        <v>#REF!</v>
      </c>
      <c r="G74" s="2" t="e">
        <f t="shared" si="2"/>
        <v>#REF!</v>
      </c>
      <c r="H74" s="2" t="e">
        <f>COUNTIFS('F4'!#REF!,B74,'F4'!I2:I7,"Trước RS")</f>
        <v>#REF!</v>
      </c>
      <c r="I74" s="2" t="e">
        <f>COUNTIFS('F4'!#REF!,B74,'F4'!I2:I7,"Sau RS")</f>
        <v>#REF!</v>
      </c>
      <c r="J74" s="8" t="e">
        <f>SUMIFS('F4'!H2:H7,'F4'!#REF!,B74)</f>
        <v>#REF!</v>
      </c>
      <c r="K74" s="10" t="e">
        <f t="shared" si="3"/>
        <v>#REF!</v>
      </c>
    </row>
    <row r="75" spans="1:11" ht="24" customHeight="1">
      <c r="A75" s="3" t="s">
        <v>8</v>
      </c>
      <c r="B75" s="3" t="s">
        <v>80</v>
      </c>
      <c r="C75" s="3" t="s">
        <v>81</v>
      </c>
      <c r="D75" s="3"/>
      <c r="E75" s="3" t="e">
        <f>COUNTIFS('F4'!#REF!,B75,'F4'!A2:A7,C75,'F4'!F2:F7,"F2")</f>
        <v>#REF!</v>
      </c>
      <c r="F75" s="3" t="e">
        <f>COUNTIFS('F4'!#REF!,B75,'F4'!A2:A7,C75,'F4'!F2:F7,"F4")</f>
        <v>#REF!</v>
      </c>
      <c r="G75" s="3" t="e">
        <f t="shared" ref="G75:G96" si="4">E75+F75</f>
        <v>#REF!</v>
      </c>
      <c r="H75" s="3" t="e">
        <f>COUNTIFS('F4'!#REF!,B75,'F4'!A2:A7,C75,'F4'!I2:I7,"Trước RS")</f>
        <v>#REF!</v>
      </c>
      <c r="I75" s="3" t="e">
        <f>COUNTIFS('F4'!#REF!,B75,'F4'!A2:A7,C75,'F4'!I2:I7,"Sau RS")</f>
        <v>#REF!</v>
      </c>
      <c r="J75" s="9" t="e">
        <f>SUMIFS('F4'!H2:H7,'F4'!#REF!,B75,'F4'!A2:A7,C75)</f>
        <v>#REF!</v>
      </c>
      <c r="K75" s="11" t="e">
        <f t="shared" ref="K75:K96" si="5">J75/$B$7</f>
        <v>#REF!</v>
      </c>
    </row>
    <row r="76" spans="1:11" ht="24" customHeight="1">
      <c r="A76" s="1" t="s">
        <v>9</v>
      </c>
      <c r="B76" s="1" t="s">
        <v>80</v>
      </c>
      <c r="C76" s="1" t="s">
        <v>81</v>
      </c>
      <c r="D76" s="1" t="s">
        <v>82</v>
      </c>
      <c r="E76" s="1" t="e">
        <f>COUNTIFS('F4'!#REF!,B76,'F4'!A2:A7,C76,'F4'!B2:B7,D76,'F4'!F2:F7,"F2")</f>
        <v>#REF!</v>
      </c>
      <c r="F76" s="1" t="e">
        <f>COUNTIFS('F4'!#REF!,B76,'F4'!A2:A7,C76,'F4'!B2:B7,D76,'F4'!F2:F7,"F4")</f>
        <v>#REF!</v>
      </c>
      <c r="G76" s="1" t="e">
        <f t="shared" si="4"/>
        <v>#REF!</v>
      </c>
      <c r="H76" s="1" t="e">
        <f>COUNTIFS('F4'!#REF!,B76,'F4'!A2:A7,C76,'F4'!B2:B7,D76,'F4'!I2:I7,"Trước RS")</f>
        <v>#REF!</v>
      </c>
      <c r="I76" s="1" t="e">
        <f>COUNTIFS('F4'!#REF!,B76,'F4'!A2:A7,C76,'F4'!B2:B7,D76,'F4'!I2:I7,"Sau RS")</f>
        <v>#REF!</v>
      </c>
      <c r="J76" s="6" t="e">
        <f>SUMIFS('F4'!H2:H7,'F4'!#REF!,B76,'F4'!A2:A7,C76,'F4'!B2:B7,D76)</f>
        <v>#REF!</v>
      </c>
      <c r="K76" s="7" t="e">
        <f t="shared" si="5"/>
        <v>#REF!</v>
      </c>
    </row>
    <row r="77" spans="1:11" ht="24" customHeight="1">
      <c r="A77" s="1" t="s">
        <v>9</v>
      </c>
      <c r="B77" s="1" t="s">
        <v>80</v>
      </c>
      <c r="C77" s="1" t="s">
        <v>81</v>
      </c>
      <c r="D77" s="1" t="s">
        <v>83</v>
      </c>
      <c r="E77" s="1" t="e">
        <f>COUNTIFS('F4'!#REF!,B77,'F4'!A2:A7,C77,'F4'!B2:B7,D77,'F4'!F2:F7,"F2")</f>
        <v>#REF!</v>
      </c>
      <c r="F77" s="1" t="e">
        <f>COUNTIFS('F4'!#REF!,B77,'F4'!A2:A7,C77,'F4'!B2:B7,D77,'F4'!F2:F7,"F4")</f>
        <v>#REF!</v>
      </c>
      <c r="G77" s="1" t="e">
        <f t="shared" si="4"/>
        <v>#REF!</v>
      </c>
      <c r="H77" s="1" t="e">
        <f>COUNTIFS('F4'!#REF!,B77,'F4'!A2:A7,C77,'F4'!B2:B7,D77,'F4'!I2:I7,"Trước RS")</f>
        <v>#REF!</v>
      </c>
      <c r="I77" s="1" t="e">
        <f>COUNTIFS('F4'!#REF!,B77,'F4'!A2:A7,C77,'F4'!B2:B7,D77,'F4'!I2:I7,"Sau RS")</f>
        <v>#REF!</v>
      </c>
      <c r="J77" s="6" t="e">
        <f>SUMIFS('F4'!H2:H7,'F4'!#REF!,B77,'F4'!A2:A7,C77,'F4'!B2:B7,D77)</f>
        <v>#REF!</v>
      </c>
      <c r="K77" s="7" t="e">
        <f t="shared" si="5"/>
        <v>#REF!</v>
      </c>
    </row>
    <row r="78" spans="1:11" ht="24" customHeight="1">
      <c r="A78" s="1" t="s">
        <v>9</v>
      </c>
      <c r="B78" s="1" t="s">
        <v>80</v>
      </c>
      <c r="C78" s="1" t="s">
        <v>81</v>
      </c>
      <c r="D78" s="1" t="s">
        <v>84</v>
      </c>
      <c r="E78" s="1" t="e">
        <f>COUNTIFS('F4'!#REF!,B78,'F4'!A2:A7,C78,'F4'!B2:B7,D78,'F4'!F2:F7,"F2")</f>
        <v>#REF!</v>
      </c>
      <c r="F78" s="1" t="e">
        <f>COUNTIFS('F4'!#REF!,B78,'F4'!A2:A7,C78,'F4'!B2:B7,D78,'F4'!F2:F7,"F4")</f>
        <v>#REF!</v>
      </c>
      <c r="G78" s="1" t="e">
        <f t="shared" si="4"/>
        <v>#REF!</v>
      </c>
      <c r="H78" s="1" t="e">
        <f>COUNTIFS('F4'!#REF!,B78,'F4'!A2:A7,C78,'F4'!B2:B7,D78,'F4'!I2:I7,"Trước RS")</f>
        <v>#REF!</v>
      </c>
      <c r="I78" s="1" t="e">
        <f>COUNTIFS('F4'!#REF!,B78,'F4'!A2:A7,C78,'F4'!B2:B7,D78,'F4'!I2:I7,"Sau RS")</f>
        <v>#REF!</v>
      </c>
      <c r="J78" s="6" t="e">
        <f>SUMIFS('F4'!H2:H7,'F4'!#REF!,B78,'F4'!A2:A7,C78,'F4'!B2:B7,D78)</f>
        <v>#REF!</v>
      </c>
      <c r="K78" s="7" t="e">
        <f t="shared" si="5"/>
        <v>#REF!</v>
      </c>
    </row>
    <row r="79" spans="1:11" ht="24" customHeight="1">
      <c r="A79" s="2" t="s">
        <v>7</v>
      </c>
      <c r="B79" s="2" t="s">
        <v>85</v>
      </c>
      <c r="C79" s="2"/>
      <c r="D79" s="2"/>
      <c r="E79" s="2" t="e">
        <f>COUNTIFS('F4'!#REF!,B79,'F4'!F2:F7,"F2")</f>
        <v>#REF!</v>
      </c>
      <c r="F79" s="2" t="e">
        <f>COUNTIFS('F4'!#REF!,B79,'F4'!F2:F7,"F4")</f>
        <v>#REF!</v>
      </c>
      <c r="G79" s="2" t="e">
        <f t="shared" si="4"/>
        <v>#REF!</v>
      </c>
      <c r="H79" s="2" t="e">
        <f>COUNTIFS('F4'!#REF!,B79,'F4'!I2:I7,"Trước RS")</f>
        <v>#REF!</v>
      </c>
      <c r="I79" s="2" t="e">
        <f>COUNTIFS('F4'!#REF!,B79,'F4'!I2:I7,"Sau RS")</f>
        <v>#REF!</v>
      </c>
      <c r="J79" s="8" t="e">
        <f>SUMIFS('F4'!H2:H7,'F4'!#REF!,B79)</f>
        <v>#REF!</v>
      </c>
      <c r="K79" s="10" t="e">
        <f t="shared" si="5"/>
        <v>#REF!</v>
      </c>
    </row>
    <row r="80" spans="1:11" ht="24" customHeight="1">
      <c r="A80" s="3" t="s">
        <v>8</v>
      </c>
      <c r="B80" s="3" t="s">
        <v>85</v>
      </c>
      <c r="C80" s="3" t="s">
        <v>86</v>
      </c>
      <c r="D80" s="3"/>
      <c r="E80" s="3" t="e">
        <f>COUNTIFS('F4'!#REF!,B80,'F4'!A2:A7,C80,'F4'!F2:F7,"F2")</f>
        <v>#REF!</v>
      </c>
      <c r="F80" s="3" t="e">
        <f>COUNTIFS('F4'!#REF!,B80,'F4'!A2:A7,C80,'F4'!F2:F7,"F4")</f>
        <v>#REF!</v>
      </c>
      <c r="G80" s="3" t="e">
        <f t="shared" si="4"/>
        <v>#REF!</v>
      </c>
      <c r="H80" s="3" t="e">
        <f>COUNTIFS('F4'!#REF!,B80,'F4'!A2:A7,C80,'F4'!I2:I7,"Trước RS")</f>
        <v>#REF!</v>
      </c>
      <c r="I80" s="3" t="e">
        <f>COUNTIFS('F4'!#REF!,B80,'F4'!A2:A7,C80,'F4'!I2:I7,"Sau RS")</f>
        <v>#REF!</v>
      </c>
      <c r="J80" s="9" t="e">
        <f>SUMIFS('F4'!H2:H7,'F4'!#REF!,B80,'F4'!A2:A7,C80)</f>
        <v>#REF!</v>
      </c>
      <c r="K80" s="11" t="e">
        <f t="shared" si="5"/>
        <v>#REF!</v>
      </c>
    </row>
    <row r="81" spans="1:11" ht="24" customHeight="1">
      <c r="A81" s="1" t="s">
        <v>9</v>
      </c>
      <c r="B81" s="1" t="s">
        <v>85</v>
      </c>
      <c r="C81" s="1" t="s">
        <v>86</v>
      </c>
      <c r="D81" s="1" t="s">
        <v>87</v>
      </c>
      <c r="E81" s="1" t="e">
        <f>COUNTIFS('F4'!#REF!,B81,'F4'!A2:A7,C81,'F4'!B2:B7,D81,'F4'!F2:F7,"F2")</f>
        <v>#REF!</v>
      </c>
      <c r="F81" s="1" t="e">
        <f>COUNTIFS('F4'!#REF!,B81,'F4'!A2:A7,C81,'F4'!B2:B7,D81,'F4'!F2:F7,"F4")</f>
        <v>#REF!</v>
      </c>
      <c r="G81" s="1" t="e">
        <f t="shared" si="4"/>
        <v>#REF!</v>
      </c>
      <c r="H81" s="1" t="e">
        <f>COUNTIFS('F4'!#REF!,B81,'F4'!A2:A7,C81,'F4'!B2:B7,D81,'F4'!I2:I7,"Trước RS")</f>
        <v>#REF!</v>
      </c>
      <c r="I81" s="1" t="e">
        <f>COUNTIFS('F4'!#REF!,B81,'F4'!A2:A7,C81,'F4'!B2:B7,D81,'F4'!I2:I7,"Sau RS")</f>
        <v>#REF!</v>
      </c>
      <c r="J81" s="6" t="e">
        <f>SUMIFS('F4'!H2:H7,'F4'!#REF!,B81,'F4'!A2:A7,C81,'F4'!B2:B7,D81)</f>
        <v>#REF!</v>
      </c>
      <c r="K81" s="7" t="e">
        <f t="shared" si="5"/>
        <v>#REF!</v>
      </c>
    </row>
    <row r="82" spans="1:11" ht="24" customHeight="1">
      <c r="A82" s="1" t="s">
        <v>9</v>
      </c>
      <c r="B82" s="1" t="s">
        <v>85</v>
      </c>
      <c r="C82" s="1" t="s">
        <v>86</v>
      </c>
      <c r="D82" s="1" t="s">
        <v>88</v>
      </c>
      <c r="E82" s="1" t="e">
        <f>COUNTIFS('F4'!#REF!,B82,'F4'!A2:A7,C82,'F4'!B2:B7,D82,'F4'!F2:F7,"F2")</f>
        <v>#REF!</v>
      </c>
      <c r="F82" s="1" t="e">
        <f>COUNTIFS('F4'!#REF!,B82,'F4'!A2:A7,C82,'F4'!B2:B7,D82,'F4'!F2:F7,"F4")</f>
        <v>#REF!</v>
      </c>
      <c r="G82" s="1" t="e">
        <f t="shared" si="4"/>
        <v>#REF!</v>
      </c>
      <c r="H82" s="1" t="e">
        <f>COUNTIFS('F4'!#REF!,B82,'F4'!A2:A7,C82,'F4'!B2:B7,D82,'F4'!I2:I7,"Trước RS")</f>
        <v>#REF!</v>
      </c>
      <c r="I82" s="1" t="e">
        <f>COUNTIFS('F4'!#REF!,B82,'F4'!A2:A7,C82,'F4'!B2:B7,D82,'F4'!I2:I7,"Sau RS")</f>
        <v>#REF!</v>
      </c>
      <c r="J82" s="6" t="e">
        <f>SUMIFS('F4'!H2:H7,'F4'!#REF!,B82,'F4'!A2:A7,C82,'F4'!B2:B7,D82)</f>
        <v>#REF!</v>
      </c>
      <c r="K82" s="7" t="e">
        <f t="shared" si="5"/>
        <v>#REF!</v>
      </c>
    </row>
    <row r="83" spans="1:11" ht="24" customHeight="1">
      <c r="A83" s="1" t="s">
        <v>9</v>
      </c>
      <c r="B83" s="1" t="s">
        <v>85</v>
      </c>
      <c r="C83" s="1" t="s">
        <v>86</v>
      </c>
      <c r="D83" s="1" t="s">
        <v>89</v>
      </c>
      <c r="E83" s="1" t="e">
        <f>COUNTIFS('F4'!#REF!,B83,'F4'!A2:A7,C83,'F4'!B2:B7,D83,'F4'!F2:F7,"F2")</f>
        <v>#REF!</v>
      </c>
      <c r="F83" s="1" t="e">
        <f>COUNTIFS('F4'!#REF!,B83,'F4'!A2:A7,C83,'F4'!B2:B7,D83,'F4'!F2:F7,"F4")</f>
        <v>#REF!</v>
      </c>
      <c r="G83" s="1" t="e">
        <f t="shared" si="4"/>
        <v>#REF!</v>
      </c>
      <c r="H83" s="1" t="e">
        <f>COUNTIFS('F4'!#REF!,B83,'F4'!A2:A7,C83,'F4'!B2:B7,D83,'F4'!I2:I7,"Trước RS")</f>
        <v>#REF!</v>
      </c>
      <c r="I83" s="1" t="e">
        <f>COUNTIFS('F4'!#REF!,B83,'F4'!A2:A7,C83,'F4'!B2:B7,D83,'F4'!I2:I7,"Sau RS")</f>
        <v>#REF!</v>
      </c>
      <c r="J83" s="6" t="e">
        <f>SUMIFS('F4'!H2:H7,'F4'!#REF!,B83,'F4'!A2:A7,C83,'F4'!B2:B7,D83)</f>
        <v>#REF!</v>
      </c>
      <c r="K83" s="7" t="e">
        <f t="shared" si="5"/>
        <v>#REF!</v>
      </c>
    </row>
    <row r="84" spans="1:11" ht="24" customHeight="1">
      <c r="A84" s="1" t="s">
        <v>9</v>
      </c>
      <c r="B84" s="1" t="s">
        <v>85</v>
      </c>
      <c r="C84" s="1" t="s">
        <v>86</v>
      </c>
      <c r="D84" s="1" t="s">
        <v>90</v>
      </c>
      <c r="E84" s="1" t="e">
        <f>COUNTIFS('F4'!#REF!,B84,'F4'!A2:A7,C84,'F4'!B2:B7,D84,'F4'!F2:F7,"F2")</f>
        <v>#REF!</v>
      </c>
      <c r="F84" s="1" t="e">
        <f>COUNTIFS('F4'!#REF!,B84,'F4'!A2:A7,C84,'F4'!B2:B7,D84,'F4'!F2:F7,"F4")</f>
        <v>#REF!</v>
      </c>
      <c r="G84" s="1" t="e">
        <f t="shared" si="4"/>
        <v>#REF!</v>
      </c>
      <c r="H84" s="1" t="e">
        <f>COUNTIFS('F4'!#REF!,B84,'F4'!A2:A7,C84,'F4'!B2:B7,D84,'F4'!I2:I7,"Trước RS")</f>
        <v>#REF!</v>
      </c>
      <c r="I84" s="1" t="e">
        <f>COUNTIFS('F4'!#REF!,B84,'F4'!A2:A7,C84,'F4'!B2:B7,D84,'F4'!I2:I7,"Sau RS")</f>
        <v>#REF!</v>
      </c>
      <c r="J84" s="6" t="e">
        <f>SUMIFS('F4'!H2:H7,'F4'!#REF!,B84,'F4'!A2:A7,C84,'F4'!B2:B7,D84)</f>
        <v>#REF!</v>
      </c>
      <c r="K84" s="7" t="e">
        <f t="shared" si="5"/>
        <v>#REF!</v>
      </c>
    </row>
    <row r="85" spans="1:11" ht="24" customHeight="1">
      <c r="A85" s="1" t="s">
        <v>9</v>
      </c>
      <c r="B85" s="1" t="s">
        <v>85</v>
      </c>
      <c r="C85" s="1" t="s">
        <v>86</v>
      </c>
      <c r="D85" s="1" t="s">
        <v>91</v>
      </c>
      <c r="E85" s="1" t="e">
        <f>COUNTIFS('F4'!#REF!,B85,'F4'!A2:A7,C85,'F4'!B2:B7,D85,'F4'!F2:F7,"F2")</f>
        <v>#REF!</v>
      </c>
      <c r="F85" s="1" t="e">
        <f>COUNTIFS('F4'!#REF!,B85,'F4'!A2:A7,C85,'F4'!B2:B7,D85,'F4'!F2:F7,"F4")</f>
        <v>#REF!</v>
      </c>
      <c r="G85" s="1" t="e">
        <f t="shared" si="4"/>
        <v>#REF!</v>
      </c>
      <c r="H85" s="1" t="e">
        <f>COUNTIFS('F4'!#REF!,B85,'F4'!A2:A7,C85,'F4'!B2:B7,D85,'F4'!I2:I7,"Trước RS")</f>
        <v>#REF!</v>
      </c>
      <c r="I85" s="1" t="e">
        <f>COUNTIFS('F4'!#REF!,B85,'F4'!A2:A7,C85,'F4'!B2:B7,D85,'F4'!I2:I7,"Sau RS")</f>
        <v>#REF!</v>
      </c>
      <c r="J85" s="6" t="e">
        <f>SUMIFS('F4'!H2:H7,'F4'!#REF!,B85,'F4'!A2:A7,C85,'F4'!B2:B7,D85)</f>
        <v>#REF!</v>
      </c>
      <c r="K85" s="7" t="e">
        <f t="shared" si="5"/>
        <v>#REF!</v>
      </c>
    </row>
    <row r="86" spans="1:11" ht="24" customHeight="1">
      <c r="A86" s="3" t="s">
        <v>8</v>
      </c>
      <c r="B86" s="3" t="s">
        <v>85</v>
      </c>
      <c r="C86" s="3" t="s">
        <v>92</v>
      </c>
      <c r="D86" s="3"/>
      <c r="E86" s="3" t="e">
        <f>COUNTIFS('F4'!#REF!,B86,'F4'!A2:A7,C86,'F4'!F2:F7,"F2")</f>
        <v>#REF!</v>
      </c>
      <c r="F86" s="3" t="e">
        <f>COUNTIFS('F4'!#REF!,B86,'F4'!A2:A7,C86,'F4'!F2:F7,"F4")</f>
        <v>#REF!</v>
      </c>
      <c r="G86" s="3" t="e">
        <f t="shared" si="4"/>
        <v>#REF!</v>
      </c>
      <c r="H86" s="3" t="e">
        <f>COUNTIFS('F4'!#REF!,B86,'F4'!A2:A7,C86,'F4'!I2:I7,"Trước RS")</f>
        <v>#REF!</v>
      </c>
      <c r="I86" s="3" t="e">
        <f>COUNTIFS('F4'!#REF!,B86,'F4'!A2:A7,C86,'F4'!I2:I7,"Sau RS")</f>
        <v>#REF!</v>
      </c>
      <c r="J86" s="9" t="e">
        <f>SUMIFS('F4'!H2:H7,'F4'!#REF!,B86,'F4'!A2:A7,C86)</f>
        <v>#REF!</v>
      </c>
      <c r="K86" s="11" t="e">
        <f t="shared" si="5"/>
        <v>#REF!</v>
      </c>
    </row>
    <row r="87" spans="1:11" ht="24" customHeight="1">
      <c r="A87" s="1" t="s">
        <v>9</v>
      </c>
      <c r="B87" s="1" t="s">
        <v>85</v>
      </c>
      <c r="C87" s="1" t="s">
        <v>92</v>
      </c>
      <c r="D87" s="1" t="s">
        <v>93</v>
      </c>
      <c r="E87" s="1" t="e">
        <f>COUNTIFS('F4'!#REF!,B87,'F4'!A2:A7,C87,'F4'!B2:B7,D87,'F4'!F2:F7,"F2")</f>
        <v>#REF!</v>
      </c>
      <c r="F87" s="1" t="e">
        <f>COUNTIFS('F4'!#REF!,B87,'F4'!A2:A7,C87,'F4'!B2:B7,D87,'F4'!F2:F7,"F4")</f>
        <v>#REF!</v>
      </c>
      <c r="G87" s="1" t="e">
        <f t="shared" si="4"/>
        <v>#REF!</v>
      </c>
      <c r="H87" s="1" t="e">
        <f>COUNTIFS('F4'!#REF!,B87,'F4'!A2:A7,C87,'F4'!B2:B7,D87,'F4'!I2:I7,"Trước RS")</f>
        <v>#REF!</v>
      </c>
      <c r="I87" s="1" t="e">
        <f>COUNTIFS('F4'!#REF!,B87,'F4'!A2:A7,C87,'F4'!B2:B7,D87,'F4'!I2:I7,"Sau RS")</f>
        <v>#REF!</v>
      </c>
      <c r="J87" s="6" t="e">
        <f>SUMIFS('F4'!H2:H7,'F4'!#REF!,B87,'F4'!A2:A7,C87,'F4'!B2:B7,D87)</f>
        <v>#REF!</v>
      </c>
      <c r="K87" s="7" t="e">
        <f t="shared" si="5"/>
        <v>#REF!</v>
      </c>
    </row>
    <row r="88" spans="1:11" ht="24" customHeight="1">
      <c r="A88" s="1" t="s">
        <v>9</v>
      </c>
      <c r="B88" s="1" t="s">
        <v>85</v>
      </c>
      <c r="C88" s="1" t="s">
        <v>92</v>
      </c>
      <c r="D88" s="1" t="s">
        <v>94</v>
      </c>
      <c r="E88" s="1" t="e">
        <f>COUNTIFS('F4'!#REF!,B88,'F4'!A2:A7,C88,'F4'!B2:B7,D88,'F4'!F2:F7,"F2")</f>
        <v>#REF!</v>
      </c>
      <c r="F88" s="1" t="e">
        <f>COUNTIFS('F4'!#REF!,B88,'F4'!A2:A7,C88,'F4'!B2:B7,D88,'F4'!F2:F7,"F4")</f>
        <v>#REF!</v>
      </c>
      <c r="G88" s="1" t="e">
        <f t="shared" si="4"/>
        <v>#REF!</v>
      </c>
      <c r="H88" s="1" t="e">
        <f>COUNTIFS('F4'!#REF!,B88,'F4'!A2:A7,C88,'F4'!B2:B7,D88,'F4'!I2:I7,"Trước RS")</f>
        <v>#REF!</v>
      </c>
      <c r="I88" s="1" t="e">
        <f>COUNTIFS('F4'!#REF!,B88,'F4'!A2:A7,C88,'F4'!B2:B7,D88,'F4'!I2:I7,"Sau RS")</f>
        <v>#REF!</v>
      </c>
      <c r="J88" s="6" t="e">
        <f>SUMIFS('F4'!H2:H7,'F4'!#REF!,B88,'F4'!A2:A7,C88,'F4'!B2:B7,D88)</f>
        <v>#REF!</v>
      </c>
      <c r="K88" s="7" t="e">
        <f t="shared" si="5"/>
        <v>#REF!</v>
      </c>
    </row>
    <row r="89" spans="1:11" ht="24" customHeight="1">
      <c r="A89" s="1" t="s">
        <v>9</v>
      </c>
      <c r="B89" s="1" t="s">
        <v>85</v>
      </c>
      <c r="C89" s="1" t="s">
        <v>92</v>
      </c>
      <c r="D89" s="1" t="s">
        <v>95</v>
      </c>
      <c r="E89" s="1" t="e">
        <f>COUNTIFS('F4'!#REF!,B89,'F4'!A2:A7,C89,'F4'!B2:B7,D89,'F4'!F2:F7,"F2")</f>
        <v>#REF!</v>
      </c>
      <c r="F89" s="1" t="e">
        <f>COUNTIFS('F4'!#REF!,B89,'F4'!A2:A7,C89,'F4'!B2:B7,D89,'F4'!F2:F7,"F4")</f>
        <v>#REF!</v>
      </c>
      <c r="G89" s="1" t="e">
        <f t="shared" si="4"/>
        <v>#REF!</v>
      </c>
      <c r="H89" s="1" t="e">
        <f>COUNTIFS('F4'!#REF!,B89,'F4'!A2:A7,C89,'F4'!B2:B7,D89,'F4'!I2:I7,"Trước RS")</f>
        <v>#REF!</v>
      </c>
      <c r="I89" s="1" t="e">
        <f>COUNTIFS('F4'!#REF!,B89,'F4'!A2:A7,C89,'F4'!B2:B7,D89,'F4'!I2:I7,"Sau RS")</f>
        <v>#REF!</v>
      </c>
      <c r="J89" s="6" t="e">
        <f>SUMIFS('F4'!H2:H7,'F4'!#REF!,B89,'F4'!A2:A7,C89,'F4'!B2:B7,D89)</f>
        <v>#REF!</v>
      </c>
      <c r="K89" s="7" t="e">
        <f t="shared" si="5"/>
        <v>#REF!</v>
      </c>
    </row>
    <row r="90" spans="1:11" ht="24" customHeight="1">
      <c r="A90" s="1" t="s">
        <v>9</v>
      </c>
      <c r="B90" s="1" t="s">
        <v>85</v>
      </c>
      <c r="C90" s="1" t="s">
        <v>92</v>
      </c>
      <c r="D90" s="1" t="s">
        <v>96</v>
      </c>
      <c r="E90" s="1" t="e">
        <f>COUNTIFS('F4'!#REF!,B90,'F4'!A2:A7,C90,'F4'!B2:B7,D90,'F4'!F2:F7,"F2")</f>
        <v>#REF!</v>
      </c>
      <c r="F90" s="1" t="e">
        <f>COUNTIFS('F4'!#REF!,B90,'F4'!A2:A7,C90,'F4'!B2:B7,D90,'F4'!F2:F7,"F4")</f>
        <v>#REF!</v>
      </c>
      <c r="G90" s="1" t="e">
        <f t="shared" si="4"/>
        <v>#REF!</v>
      </c>
      <c r="H90" s="1" t="e">
        <f>COUNTIFS('F4'!#REF!,B90,'F4'!A2:A7,C90,'F4'!B2:B7,D90,'F4'!I2:I7,"Trước RS")</f>
        <v>#REF!</v>
      </c>
      <c r="I90" s="1" t="e">
        <f>COUNTIFS('F4'!#REF!,B90,'F4'!A2:A7,C90,'F4'!B2:B7,D90,'F4'!I2:I7,"Sau RS")</f>
        <v>#REF!</v>
      </c>
      <c r="J90" s="6" t="e">
        <f>SUMIFS('F4'!H2:H7,'F4'!#REF!,B90,'F4'!A2:A7,C90,'F4'!B2:B7,D90)</f>
        <v>#REF!</v>
      </c>
      <c r="K90" s="7" t="e">
        <f t="shared" si="5"/>
        <v>#REF!</v>
      </c>
    </row>
    <row r="91" spans="1:11" ht="24" customHeight="1">
      <c r="A91" s="1" t="s">
        <v>9</v>
      </c>
      <c r="B91" s="1" t="s">
        <v>85</v>
      </c>
      <c r="C91" s="1" t="s">
        <v>92</v>
      </c>
      <c r="D91" s="1" t="s">
        <v>97</v>
      </c>
      <c r="E91" s="1" t="e">
        <f>COUNTIFS('F4'!#REF!,B91,'F4'!A2:A7,C91,'F4'!B2:B7,D91,'F4'!F2:F7,"F2")</f>
        <v>#REF!</v>
      </c>
      <c r="F91" s="1" t="e">
        <f>COUNTIFS('F4'!#REF!,B91,'F4'!A2:A7,C91,'F4'!B2:B7,D91,'F4'!F2:F7,"F4")</f>
        <v>#REF!</v>
      </c>
      <c r="G91" s="1" t="e">
        <f t="shared" si="4"/>
        <v>#REF!</v>
      </c>
      <c r="H91" s="1" t="e">
        <f>COUNTIFS('F4'!#REF!,B91,'F4'!A2:A7,C91,'F4'!B2:B7,D91,'F4'!I2:I7,"Trước RS")</f>
        <v>#REF!</v>
      </c>
      <c r="I91" s="1" t="e">
        <f>COUNTIFS('F4'!#REF!,B91,'F4'!A2:A7,C91,'F4'!B2:B7,D91,'F4'!I2:I7,"Sau RS")</f>
        <v>#REF!</v>
      </c>
      <c r="J91" s="6" t="e">
        <f>SUMIFS('F4'!H2:H7,'F4'!#REF!,B91,'F4'!A2:A7,C91,'F4'!B2:B7,D91)</f>
        <v>#REF!</v>
      </c>
      <c r="K91" s="7" t="e">
        <f t="shared" si="5"/>
        <v>#REF!</v>
      </c>
    </row>
    <row r="92" spans="1:11" ht="24" customHeight="1">
      <c r="A92" s="1" t="s">
        <v>9</v>
      </c>
      <c r="B92" s="1" t="s">
        <v>85</v>
      </c>
      <c r="C92" s="1" t="s">
        <v>92</v>
      </c>
      <c r="D92" s="1" t="s">
        <v>98</v>
      </c>
      <c r="E92" s="1" t="e">
        <f>COUNTIFS('F4'!#REF!,B92,'F4'!A2:A7,C92,'F4'!B2:B7,D92,'F4'!F2:F7,"F2")</f>
        <v>#REF!</v>
      </c>
      <c r="F92" s="1" t="e">
        <f>COUNTIFS('F4'!#REF!,B92,'F4'!A2:A7,C92,'F4'!B2:B7,D92,'F4'!F2:F7,"F4")</f>
        <v>#REF!</v>
      </c>
      <c r="G92" s="1" t="e">
        <f t="shared" si="4"/>
        <v>#REF!</v>
      </c>
      <c r="H92" s="1" t="e">
        <f>COUNTIFS('F4'!#REF!,B92,'F4'!A2:A7,C92,'F4'!B2:B7,D92,'F4'!I2:I7,"Trước RS")</f>
        <v>#REF!</v>
      </c>
      <c r="I92" s="1" t="e">
        <f>COUNTIFS('F4'!#REF!,B92,'F4'!A2:A7,C92,'F4'!B2:B7,D92,'F4'!I2:I7,"Sau RS")</f>
        <v>#REF!</v>
      </c>
      <c r="J92" s="6" t="e">
        <f>SUMIFS('F4'!H2:H7,'F4'!#REF!,B92,'F4'!A2:A7,C92,'F4'!B2:B7,D92)</f>
        <v>#REF!</v>
      </c>
      <c r="K92" s="7" t="e">
        <f t="shared" si="5"/>
        <v>#REF!</v>
      </c>
    </row>
    <row r="93" spans="1:11" ht="24" customHeight="1">
      <c r="A93" s="1" t="s">
        <v>9</v>
      </c>
      <c r="B93" s="1" t="s">
        <v>85</v>
      </c>
      <c r="C93" s="1" t="s">
        <v>92</v>
      </c>
      <c r="D93" s="1" t="s">
        <v>99</v>
      </c>
      <c r="E93" s="1" t="e">
        <f>COUNTIFS('F4'!#REF!,B93,'F4'!A2:A7,C93,'F4'!B2:B7,D93,'F4'!F2:F7,"F2")</f>
        <v>#REF!</v>
      </c>
      <c r="F93" s="1" t="e">
        <f>COUNTIFS('F4'!#REF!,B93,'F4'!A2:A7,C93,'F4'!B2:B7,D93,'F4'!F2:F7,"F4")</f>
        <v>#REF!</v>
      </c>
      <c r="G93" s="1" t="e">
        <f t="shared" si="4"/>
        <v>#REF!</v>
      </c>
      <c r="H93" s="1" t="e">
        <f>COUNTIFS('F4'!#REF!,B93,'F4'!A2:A7,C93,'F4'!B2:B7,D93,'F4'!I2:I7,"Trước RS")</f>
        <v>#REF!</v>
      </c>
      <c r="I93" s="1" t="e">
        <f>COUNTIFS('F4'!#REF!,B93,'F4'!A2:A7,C93,'F4'!B2:B7,D93,'F4'!I2:I7,"Sau RS")</f>
        <v>#REF!</v>
      </c>
      <c r="J93" s="6" t="e">
        <f>SUMIFS('F4'!H2:H7,'F4'!#REF!,B93,'F4'!A2:A7,C93,'F4'!B2:B7,D93)</f>
        <v>#REF!</v>
      </c>
      <c r="K93" s="7" t="e">
        <f t="shared" si="5"/>
        <v>#REF!</v>
      </c>
    </row>
    <row r="94" spans="1:11" ht="24" customHeight="1">
      <c r="A94" s="1" t="s">
        <v>9</v>
      </c>
      <c r="B94" s="1" t="s">
        <v>85</v>
      </c>
      <c r="C94" s="1" t="s">
        <v>92</v>
      </c>
      <c r="D94" s="1" t="s">
        <v>100</v>
      </c>
      <c r="E94" s="1" t="e">
        <f>COUNTIFS('F4'!#REF!,B94,'F4'!A2:A7,C94,'F4'!B2:B7,D94,'F4'!F2:F7,"F2")</f>
        <v>#REF!</v>
      </c>
      <c r="F94" s="1" t="e">
        <f>COUNTIFS('F4'!#REF!,B94,'F4'!A2:A7,C94,'F4'!B2:B7,D94,'F4'!F2:F7,"F4")</f>
        <v>#REF!</v>
      </c>
      <c r="G94" s="1" t="e">
        <f t="shared" si="4"/>
        <v>#REF!</v>
      </c>
      <c r="H94" s="1" t="e">
        <f>COUNTIFS('F4'!#REF!,B94,'F4'!A2:A7,C94,'F4'!B2:B7,D94,'F4'!I2:I7,"Trước RS")</f>
        <v>#REF!</v>
      </c>
      <c r="I94" s="1" t="e">
        <f>COUNTIFS('F4'!#REF!,B94,'F4'!A2:A7,C94,'F4'!B2:B7,D94,'F4'!I2:I7,"Sau RS")</f>
        <v>#REF!</v>
      </c>
      <c r="J94" s="6" t="e">
        <f>SUMIFS('F4'!H2:H7,'F4'!#REF!,B94,'F4'!A2:A7,C94,'F4'!B2:B7,D94)</f>
        <v>#REF!</v>
      </c>
      <c r="K94" s="7" t="e">
        <f t="shared" si="5"/>
        <v>#REF!</v>
      </c>
    </row>
    <row r="95" spans="1:11" ht="24" customHeight="1">
      <c r="A95" s="1" t="s">
        <v>9</v>
      </c>
      <c r="B95" s="1" t="s">
        <v>85</v>
      </c>
      <c r="C95" s="1" t="s">
        <v>92</v>
      </c>
      <c r="D95" s="1" t="s">
        <v>101</v>
      </c>
      <c r="E95" s="1" t="e">
        <f>COUNTIFS('F4'!#REF!,B95,'F4'!A2:A7,C95,'F4'!B2:B7,D95,'F4'!F2:F7,"F2")</f>
        <v>#REF!</v>
      </c>
      <c r="F95" s="1" t="e">
        <f>COUNTIFS('F4'!#REF!,B95,'F4'!A2:A7,C95,'F4'!B2:B7,D95,'F4'!F2:F7,"F4")</f>
        <v>#REF!</v>
      </c>
      <c r="G95" s="1" t="e">
        <f t="shared" si="4"/>
        <v>#REF!</v>
      </c>
      <c r="H95" s="1" t="e">
        <f>COUNTIFS('F4'!#REF!,B95,'F4'!A2:A7,C95,'F4'!B2:B7,D95,'F4'!I2:I7,"Trước RS")</f>
        <v>#REF!</v>
      </c>
      <c r="I95" s="1" t="e">
        <f>COUNTIFS('F4'!#REF!,B95,'F4'!A2:A7,C95,'F4'!B2:B7,D95,'F4'!I2:I7,"Sau RS")</f>
        <v>#REF!</v>
      </c>
      <c r="J95" s="6" t="e">
        <f>SUMIFS('F4'!H2:H7,'F4'!#REF!,B95,'F4'!A2:A7,C95,'F4'!B2:B7,D95)</f>
        <v>#REF!</v>
      </c>
      <c r="K95" s="7" t="e">
        <f t="shared" si="5"/>
        <v>#REF!</v>
      </c>
    </row>
    <row r="96" spans="1:11" ht="24" customHeight="1">
      <c r="A96" s="1" t="s">
        <v>9</v>
      </c>
      <c r="B96" s="1" t="s">
        <v>85</v>
      </c>
      <c r="C96" s="1" t="s">
        <v>92</v>
      </c>
      <c r="D96" s="1" t="s">
        <v>102</v>
      </c>
      <c r="E96" s="1" t="e">
        <f>COUNTIFS('F4'!#REF!,B96,'F4'!A2:A7,C96,'F4'!B2:B7,D96,'F4'!F2:F7,"F2")</f>
        <v>#REF!</v>
      </c>
      <c r="F96" s="1" t="e">
        <f>COUNTIFS('F4'!#REF!,B96,'F4'!A2:A7,C96,'F4'!B2:B7,D96,'F4'!F2:F7,"F4")</f>
        <v>#REF!</v>
      </c>
      <c r="G96" s="1" t="e">
        <f t="shared" si="4"/>
        <v>#REF!</v>
      </c>
      <c r="H96" s="1" t="e">
        <f>COUNTIFS('F4'!#REF!,B96,'F4'!A2:A7,C96,'F4'!B2:B7,D96,'F4'!I2:I7,"Trước RS")</f>
        <v>#REF!</v>
      </c>
      <c r="I96" s="1" t="e">
        <f>COUNTIFS('F4'!#REF!,B96,'F4'!A2:A7,C96,'F4'!B2:B7,D96,'F4'!I2:I7,"Sau RS")</f>
        <v>#REF!</v>
      </c>
      <c r="J96" s="6" t="e">
        <f>SUMIFS('F4'!H2:H7,'F4'!#REF!,B96,'F4'!A2:A7,C96,'F4'!B2:B7,D96)</f>
        <v>#REF!</v>
      </c>
      <c r="K96" s="7" t="e">
        <f t="shared" si="5"/>
        <v>#REF!</v>
      </c>
    </row>
    <row r="97" spans="1:11" ht="24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24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24" customHeight="1">
      <c r="A99" s="1" t="s">
        <v>103</v>
      </c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24" customHeight="1">
      <c r="A100" s="1" t="s">
        <v>104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24" customHeight="1">
      <c r="A101" s="1" t="s">
        <v>105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24" customHeight="1">
      <c r="A102" s="1" t="s">
        <v>106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"/>
  <sheetViews>
    <sheetView showGridLines="0" tabSelected="1" zoomScale="69" zoomScaleNormal="69" workbookViewId="0">
      <pane xSplit="2" ySplit="1" topLeftCell="C2" activePane="bottomRight" state="frozen"/>
      <selection pane="topRight"/>
      <selection pane="bottomLeft"/>
      <selection pane="bottomRight" activeCell="C12" sqref="C12"/>
    </sheetView>
  </sheetViews>
  <sheetFormatPr defaultColWidth="9" defaultRowHeight="14"/>
  <cols>
    <col min="1" max="1" width="27" style="12" customWidth="1"/>
    <col min="2" max="2" width="26.33203125" style="12" customWidth="1"/>
    <col min="3" max="3" width="25" style="12" customWidth="1"/>
    <col min="4" max="4" width="15" style="12" customWidth="1"/>
    <col min="5" max="5" width="37" style="12" customWidth="1"/>
    <col min="6" max="6" width="19" style="12" customWidth="1"/>
    <col min="7" max="8" width="23" style="12" customWidth="1"/>
    <col min="9" max="9" width="18" style="12" customWidth="1"/>
    <col min="10" max="10" width="19" style="12" customWidth="1"/>
    <col min="11" max="11" width="24" style="12" customWidth="1"/>
    <col min="12" max="12" width="14" style="12" customWidth="1"/>
    <col min="13" max="13" width="22" style="12" customWidth="1"/>
    <col min="14" max="14" width="18" style="12" customWidth="1"/>
    <col min="15" max="15" width="26" style="12" customWidth="1"/>
    <col min="16" max="16" width="20" style="12" customWidth="1"/>
    <col min="17" max="17" width="32" style="12" customWidth="1"/>
    <col min="18" max="18" width="65" style="12" customWidth="1"/>
    <col min="19" max="19" width="20" style="12" customWidth="1"/>
    <col min="20" max="16384" width="9" style="12"/>
  </cols>
  <sheetData>
    <row r="1" spans="1:19" ht="46" customHeight="1">
      <c r="A1" s="26" t="s">
        <v>8</v>
      </c>
      <c r="B1" s="27" t="s">
        <v>9</v>
      </c>
      <c r="C1" s="28" t="s">
        <v>107</v>
      </c>
      <c r="D1" s="26" t="s">
        <v>108</v>
      </c>
      <c r="E1" s="27" t="s">
        <v>109</v>
      </c>
      <c r="F1" s="26" t="s">
        <v>110</v>
      </c>
      <c r="G1" s="28" t="s">
        <v>111</v>
      </c>
      <c r="H1" s="28" t="s">
        <v>15</v>
      </c>
      <c r="I1" s="28" t="s">
        <v>112</v>
      </c>
      <c r="J1" s="28" t="s">
        <v>113</v>
      </c>
      <c r="K1" s="26" t="s">
        <v>114</v>
      </c>
      <c r="L1" s="26" t="s">
        <v>115</v>
      </c>
      <c r="M1" s="17" t="s">
        <v>594</v>
      </c>
      <c r="N1" s="28" t="s">
        <v>116</v>
      </c>
      <c r="O1" s="17" t="s">
        <v>117</v>
      </c>
      <c r="P1" s="26" t="s">
        <v>118</v>
      </c>
      <c r="Q1" s="27" t="s">
        <v>119</v>
      </c>
      <c r="R1" s="29" t="s">
        <v>120</v>
      </c>
      <c r="S1" s="26" t="s">
        <v>121</v>
      </c>
    </row>
    <row r="2" spans="1:19" ht="24" customHeight="1">
      <c r="A2" s="19" t="s">
        <v>73</v>
      </c>
      <c r="B2" s="20" t="s">
        <v>74</v>
      </c>
      <c r="C2" s="19" t="s">
        <v>150</v>
      </c>
      <c r="D2" s="19" t="s">
        <v>151</v>
      </c>
      <c r="E2" s="20" t="s">
        <v>152</v>
      </c>
      <c r="F2" s="21" t="s">
        <v>122</v>
      </c>
      <c r="G2" s="22">
        <v>77.864000039999993</v>
      </c>
      <c r="H2" s="22">
        <f t="shared" ref="H2:H7" si="0">G2/3</f>
        <v>25.954666679999999</v>
      </c>
      <c r="I2" s="19" t="s">
        <v>123</v>
      </c>
      <c r="J2" s="19" t="s">
        <v>153</v>
      </c>
      <c r="K2" s="19" t="s">
        <v>124</v>
      </c>
      <c r="L2" s="21" t="s">
        <v>125</v>
      </c>
      <c r="M2" s="23">
        <v>47</v>
      </c>
      <c r="N2" s="21" t="s">
        <v>127</v>
      </c>
      <c r="O2" s="24" t="s">
        <v>128</v>
      </c>
      <c r="P2" s="25" t="s">
        <v>129</v>
      </c>
      <c r="Q2" s="19" t="s">
        <v>154</v>
      </c>
      <c r="R2" s="19" t="s">
        <v>155</v>
      </c>
      <c r="S2" s="25" t="s">
        <v>127</v>
      </c>
    </row>
    <row r="3" spans="1:19" ht="24" customHeight="1">
      <c r="A3" s="19" t="s">
        <v>73</v>
      </c>
      <c r="B3" s="20" t="s">
        <v>75</v>
      </c>
      <c r="C3" s="19" t="s">
        <v>156</v>
      </c>
      <c r="D3" s="19" t="s">
        <v>157</v>
      </c>
      <c r="E3" s="20" t="s">
        <v>158</v>
      </c>
      <c r="F3" s="21" t="s">
        <v>122</v>
      </c>
      <c r="G3" s="22">
        <v>110.44180001499998</v>
      </c>
      <c r="H3" s="22">
        <f t="shared" si="0"/>
        <v>36.813933338333328</v>
      </c>
      <c r="I3" s="19" t="s">
        <v>123</v>
      </c>
      <c r="J3" s="19" t="s">
        <v>159</v>
      </c>
      <c r="K3" s="19" t="s">
        <v>124</v>
      </c>
      <c r="L3" s="21" t="s">
        <v>125</v>
      </c>
      <c r="M3" s="23">
        <v>25</v>
      </c>
      <c r="N3" s="21" t="s">
        <v>127</v>
      </c>
      <c r="O3" s="24" t="s">
        <v>135</v>
      </c>
      <c r="P3" s="25" t="s">
        <v>129</v>
      </c>
      <c r="Q3" s="19" t="s">
        <v>160</v>
      </c>
      <c r="R3" s="19" t="s">
        <v>161</v>
      </c>
      <c r="S3" s="25" t="s">
        <v>127</v>
      </c>
    </row>
    <row r="4" spans="1:19" ht="24" customHeight="1">
      <c r="A4" s="19" t="s">
        <v>73</v>
      </c>
      <c r="B4" s="20" t="s">
        <v>76</v>
      </c>
      <c r="C4" s="19" t="s">
        <v>162</v>
      </c>
      <c r="D4" s="19" t="s">
        <v>163</v>
      </c>
      <c r="E4" s="20" t="s">
        <v>164</v>
      </c>
      <c r="F4" s="21" t="s">
        <v>122</v>
      </c>
      <c r="G4" s="22">
        <v>60.189540006009999</v>
      </c>
      <c r="H4" s="22">
        <f t="shared" si="0"/>
        <v>20.063180002003332</v>
      </c>
      <c r="I4" s="19" t="s">
        <v>123</v>
      </c>
      <c r="J4" s="19" t="s">
        <v>142</v>
      </c>
      <c r="K4" s="19" t="s">
        <v>124</v>
      </c>
      <c r="L4" s="21" t="s">
        <v>130</v>
      </c>
      <c r="M4" s="23">
        <v>47</v>
      </c>
      <c r="N4" s="21" t="s">
        <v>127</v>
      </c>
      <c r="O4" s="24" t="s">
        <v>128</v>
      </c>
      <c r="P4" s="25" t="s">
        <v>129</v>
      </c>
      <c r="Q4" s="19" t="s">
        <v>165</v>
      </c>
      <c r="R4" s="19" t="s">
        <v>166</v>
      </c>
      <c r="S4" s="25" t="s">
        <v>127</v>
      </c>
    </row>
    <row r="5" spans="1:19" ht="24" customHeight="1">
      <c r="A5" s="19" t="s">
        <v>73</v>
      </c>
      <c r="B5" s="20" t="s">
        <v>77</v>
      </c>
      <c r="C5" s="19" t="s">
        <v>167</v>
      </c>
      <c r="D5" s="19" t="s">
        <v>168</v>
      </c>
      <c r="E5" s="20" t="s">
        <v>145</v>
      </c>
      <c r="F5" s="21" t="s">
        <v>122</v>
      </c>
      <c r="G5" s="22">
        <v>89.601476008299983</v>
      </c>
      <c r="H5" s="22">
        <f t="shared" si="0"/>
        <v>29.867158669433326</v>
      </c>
      <c r="I5" s="19" t="s">
        <v>123</v>
      </c>
      <c r="J5" s="19" t="s">
        <v>169</v>
      </c>
      <c r="K5" s="19" t="s">
        <v>124</v>
      </c>
      <c r="L5" s="21" t="s">
        <v>125</v>
      </c>
      <c r="M5" s="23">
        <v>47</v>
      </c>
      <c r="N5" s="21" t="s">
        <v>127</v>
      </c>
      <c r="O5" s="24" t="s">
        <v>126</v>
      </c>
      <c r="P5" s="25" t="s">
        <v>129</v>
      </c>
      <c r="Q5" s="19" t="s">
        <v>165</v>
      </c>
      <c r="R5" s="19" t="s">
        <v>170</v>
      </c>
      <c r="S5" s="25" t="s">
        <v>127</v>
      </c>
    </row>
    <row r="6" spans="1:19" ht="24" customHeight="1">
      <c r="A6" s="19" t="s">
        <v>73</v>
      </c>
      <c r="B6" s="20" t="s">
        <v>78</v>
      </c>
      <c r="C6" s="19" t="s">
        <v>171</v>
      </c>
      <c r="D6" s="19" t="s">
        <v>172</v>
      </c>
      <c r="E6" s="20" t="s">
        <v>144</v>
      </c>
      <c r="F6" s="21" t="s">
        <v>122</v>
      </c>
      <c r="G6" s="22">
        <v>89.405400036750024</v>
      </c>
      <c r="H6" s="22">
        <f t="shared" si="0"/>
        <v>29.801800012250009</v>
      </c>
      <c r="I6" s="19" t="s">
        <v>123</v>
      </c>
      <c r="J6" s="19" t="s">
        <v>143</v>
      </c>
      <c r="K6" s="19" t="s">
        <v>124</v>
      </c>
      <c r="L6" s="21" t="s">
        <v>125</v>
      </c>
      <c r="M6" s="23">
        <v>25</v>
      </c>
      <c r="N6" s="21" t="s">
        <v>127</v>
      </c>
      <c r="O6" s="24" t="s">
        <v>134</v>
      </c>
      <c r="P6" s="25" t="s">
        <v>129</v>
      </c>
      <c r="Q6" s="19" t="s">
        <v>154</v>
      </c>
      <c r="R6" s="19" t="s">
        <v>173</v>
      </c>
      <c r="S6" s="25" t="s">
        <v>127</v>
      </c>
    </row>
    <row r="7" spans="1:19" ht="24" customHeight="1">
      <c r="A7" s="19" t="s">
        <v>73</v>
      </c>
      <c r="B7" s="20" t="s">
        <v>79</v>
      </c>
      <c r="C7" s="19" t="s">
        <v>174</v>
      </c>
      <c r="D7" s="19" t="s">
        <v>175</v>
      </c>
      <c r="E7" s="20" t="s">
        <v>146</v>
      </c>
      <c r="F7" s="21" t="s">
        <v>122</v>
      </c>
      <c r="G7" s="22">
        <v>109.28016001390002</v>
      </c>
      <c r="H7" s="22">
        <f t="shared" si="0"/>
        <v>36.426720004633339</v>
      </c>
      <c r="I7" s="19" t="s">
        <v>123</v>
      </c>
      <c r="J7" s="19" t="s">
        <v>176</v>
      </c>
      <c r="K7" s="19" t="s">
        <v>124</v>
      </c>
      <c r="L7" s="21" t="s">
        <v>139</v>
      </c>
      <c r="M7" s="23">
        <v>25</v>
      </c>
      <c r="N7" s="21" t="s">
        <v>127</v>
      </c>
      <c r="O7" s="24" t="s">
        <v>135</v>
      </c>
      <c r="P7" s="25" t="s">
        <v>129</v>
      </c>
      <c r="Q7" s="19" t="s">
        <v>160</v>
      </c>
      <c r="R7" s="19" t="s">
        <v>177</v>
      </c>
      <c r="S7" s="25" t="s">
        <v>127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7"/>
  <sheetViews>
    <sheetView showGridLines="0" zoomScale="89" zoomScaleNormal="89" workbookViewId="0">
      <pane xSplit="2" ySplit="1" topLeftCell="K2" activePane="bottomRight" state="frozen"/>
      <selection pane="topRight"/>
      <selection pane="bottomLeft"/>
      <selection pane="bottomRight" activeCell="M11" sqref="M11"/>
    </sheetView>
  </sheetViews>
  <sheetFormatPr defaultRowHeight="14"/>
  <cols>
    <col min="1" max="1" width="27" customWidth="1"/>
    <col min="2" max="2" width="30" customWidth="1"/>
    <col min="3" max="3" width="25" customWidth="1"/>
    <col min="4" max="4" width="15" customWidth="1"/>
    <col min="5" max="5" width="37" customWidth="1"/>
    <col min="6" max="6" width="19" customWidth="1"/>
    <col min="7" max="8" width="23" customWidth="1"/>
    <col min="9" max="9" width="18" customWidth="1"/>
    <col min="10" max="10" width="19" customWidth="1"/>
    <col min="11" max="11" width="24" customWidth="1"/>
    <col min="12" max="12" width="14" customWidth="1"/>
    <col min="13" max="13" width="22" customWidth="1"/>
    <col min="14" max="14" width="18" customWidth="1"/>
    <col min="15" max="15" width="26" customWidth="1"/>
    <col min="16" max="16" width="20" customWidth="1"/>
    <col min="17" max="17" width="32" customWidth="1"/>
    <col min="18" max="18" width="65" customWidth="1"/>
    <col min="19" max="19" width="20" customWidth="1"/>
  </cols>
  <sheetData>
    <row r="1" spans="1:19" ht="46" customHeight="1">
      <c r="A1" s="13" t="s">
        <v>8</v>
      </c>
      <c r="B1" s="14" t="s">
        <v>9</v>
      </c>
      <c r="C1" s="14" t="s">
        <v>107</v>
      </c>
      <c r="D1" s="14" t="s">
        <v>108</v>
      </c>
      <c r="E1" s="14" t="s">
        <v>109</v>
      </c>
      <c r="F1" s="15" t="s">
        <v>110</v>
      </c>
      <c r="G1" s="16" t="s">
        <v>111</v>
      </c>
      <c r="H1" s="14" t="s">
        <v>15</v>
      </c>
      <c r="I1" s="14" t="s">
        <v>112</v>
      </c>
      <c r="J1" s="14" t="s">
        <v>113</v>
      </c>
      <c r="K1" s="14" t="s">
        <v>114</v>
      </c>
      <c r="L1" s="14" t="s">
        <v>115</v>
      </c>
      <c r="M1" s="17" t="s">
        <v>594</v>
      </c>
      <c r="N1" s="14" t="s">
        <v>116</v>
      </c>
      <c r="O1" s="15" t="s">
        <v>117</v>
      </c>
      <c r="P1" s="17" t="s">
        <v>595</v>
      </c>
      <c r="Q1" s="14" t="s">
        <v>119</v>
      </c>
      <c r="R1" s="14" t="s">
        <v>120</v>
      </c>
      <c r="S1" s="18" t="s">
        <v>121</v>
      </c>
    </row>
    <row r="2" spans="1:19" ht="25" customHeight="1">
      <c r="A2" s="19" t="s">
        <v>73</v>
      </c>
      <c r="B2" s="20" t="s">
        <v>74</v>
      </c>
      <c r="C2" s="19" t="s">
        <v>150</v>
      </c>
      <c r="D2" s="19" t="s">
        <v>218</v>
      </c>
      <c r="E2" s="20" t="s">
        <v>219</v>
      </c>
      <c r="F2" s="21" t="s">
        <v>136</v>
      </c>
      <c r="G2" s="22">
        <v>8.6814560004200008</v>
      </c>
      <c r="H2" s="22">
        <f t="shared" ref="H2:H23" si="0">G2/3</f>
        <v>2.8938186668066668</v>
      </c>
      <c r="I2" s="19" t="s">
        <v>123</v>
      </c>
      <c r="J2" s="19" t="s">
        <v>213</v>
      </c>
      <c r="K2" s="19" t="s">
        <v>124</v>
      </c>
      <c r="L2" s="21" t="s">
        <v>139</v>
      </c>
      <c r="M2" s="23">
        <v>7</v>
      </c>
      <c r="N2" s="21" t="s">
        <v>140</v>
      </c>
      <c r="O2" s="24" t="s">
        <v>128</v>
      </c>
      <c r="P2" s="25" t="s">
        <v>129</v>
      </c>
      <c r="Q2" s="19" t="s">
        <v>154</v>
      </c>
      <c r="R2" s="19" t="s">
        <v>220</v>
      </c>
      <c r="S2" s="25" t="s">
        <v>127</v>
      </c>
    </row>
    <row r="3" spans="1:19" ht="25" customHeight="1">
      <c r="A3" s="19" t="s">
        <v>73</v>
      </c>
      <c r="B3" s="20" t="s">
        <v>221</v>
      </c>
      <c r="C3" s="19" t="s">
        <v>222</v>
      </c>
      <c r="D3" s="19" t="s">
        <v>223</v>
      </c>
      <c r="E3" s="20" t="s">
        <v>224</v>
      </c>
      <c r="F3" s="21" t="s">
        <v>136</v>
      </c>
      <c r="G3" s="22">
        <v>7.5208000000800004</v>
      </c>
      <c r="H3" s="22">
        <f t="shared" si="0"/>
        <v>2.5069333333600001</v>
      </c>
      <c r="I3" s="19" t="s">
        <v>123</v>
      </c>
      <c r="J3" s="19" t="s">
        <v>225</v>
      </c>
      <c r="K3" s="19" t="s">
        <v>138</v>
      </c>
      <c r="L3" s="21" t="s">
        <v>139</v>
      </c>
      <c r="M3" s="23">
        <v>3</v>
      </c>
      <c r="N3" s="21" t="s">
        <v>149</v>
      </c>
      <c r="O3" s="24" t="s">
        <v>131</v>
      </c>
      <c r="P3" s="25" t="s">
        <v>129</v>
      </c>
      <c r="Q3" s="19" t="s">
        <v>226</v>
      </c>
      <c r="R3" s="19" t="s">
        <v>227</v>
      </c>
      <c r="S3" s="25" t="s">
        <v>127</v>
      </c>
    </row>
    <row r="4" spans="1:19" ht="25" customHeight="1">
      <c r="A4" s="19" t="s">
        <v>73</v>
      </c>
      <c r="B4" s="20" t="s">
        <v>221</v>
      </c>
      <c r="C4" s="19" t="s">
        <v>222</v>
      </c>
      <c r="D4" s="19" t="s">
        <v>228</v>
      </c>
      <c r="E4" s="20" t="s">
        <v>229</v>
      </c>
      <c r="F4" s="21" t="s">
        <v>136</v>
      </c>
      <c r="G4" s="22">
        <v>6.0668000018499999</v>
      </c>
      <c r="H4" s="22">
        <f t="shared" si="0"/>
        <v>2.0222666672833332</v>
      </c>
      <c r="I4" s="19" t="s">
        <v>123</v>
      </c>
      <c r="J4" s="19" t="s">
        <v>230</v>
      </c>
      <c r="K4" s="19" t="s">
        <v>138</v>
      </c>
      <c r="L4" s="21" t="s">
        <v>139</v>
      </c>
      <c r="M4" s="23">
        <v>6</v>
      </c>
      <c r="N4" s="21" t="s">
        <v>140</v>
      </c>
      <c r="O4" s="24" t="s">
        <v>132</v>
      </c>
      <c r="P4" s="25" t="s">
        <v>129</v>
      </c>
      <c r="Q4" s="19" t="s">
        <v>226</v>
      </c>
      <c r="R4" s="19" t="s">
        <v>231</v>
      </c>
      <c r="S4" s="25" t="s">
        <v>127</v>
      </c>
    </row>
    <row r="5" spans="1:19" ht="25" customHeight="1">
      <c r="A5" s="19" t="s">
        <v>73</v>
      </c>
      <c r="B5" s="20" t="s">
        <v>232</v>
      </c>
      <c r="C5" s="19" t="s">
        <v>233</v>
      </c>
      <c r="D5" s="19" t="s">
        <v>234</v>
      </c>
      <c r="E5" s="20" t="s">
        <v>235</v>
      </c>
      <c r="F5" s="21" t="s">
        <v>136</v>
      </c>
      <c r="G5" s="22">
        <v>58.185912012339976</v>
      </c>
      <c r="H5" s="22">
        <f t="shared" si="0"/>
        <v>19.395304004113324</v>
      </c>
      <c r="I5" s="19" t="s">
        <v>123</v>
      </c>
      <c r="J5" s="19" t="s">
        <v>193</v>
      </c>
      <c r="K5" s="19" t="s">
        <v>124</v>
      </c>
      <c r="L5" s="21" t="s">
        <v>139</v>
      </c>
      <c r="M5" s="23">
        <v>5</v>
      </c>
      <c r="N5" s="21" t="s">
        <v>140</v>
      </c>
      <c r="O5" s="24" t="s">
        <v>135</v>
      </c>
      <c r="P5" s="25" t="s">
        <v>129</v>
      </c>
      <c r="Q5" s="19" t="s">
        <v>160</v>
      </c>
      <c r="R5" s="19" t="s">
        <v>236</v>
      </c>
      <c r="S5" s="25" t="s">
        <v>127</v>
      </c>
    </row>
    <row r="6" spans="1:19" ht="25" customHeight="1">
      <c r="A6" s="19" t="s">
        <v>73</v>
      </c>
      <c r="B6" s="20" t="s">
        <v>232</v>
      </c>
      <c r="C6" s="19" t="s">
        <v>233</v>
      </c>
      <c r="D6" s="19" t="s">
        <v>237</v>
      </c>
      <c r="E6" s="20" t="s">
        <v>238</v>
      </c>
      <c r="F6" s="21" t="s">
        <v>136</v>
      </c>
      <c r="G6" s="22">
        <v>17.261000003400003</v>
      </c>
      <c r="H6" s="22">
        <f t="shared" si="0"/>
        <v>5.753666667800001</v>
      </c>
      <c r="I6" s="19" t="s">
        <v>123</v>
      </c>
      <c r="J6" s="19" t="s">
        <v>214</v>
      </c>
      <c r="K6" s="19" t="s">
        <v>124</v>
      </c>
      <c r="L6" s="21" t="s">
        <v>139</v>
      </c>
      <c r="M6" s="23">
        <v>5</v>
      </c>
      <c r="N6" s="21" t="s">
        <v>149</v>
      </c>
      <c r="O6" s="24" t="s">
        <v>135</v>
      </c>
      <c r="P6" s="25" t="s">
        <v>129</v>
      </c>
      <c r="Q6" s="19" t="s">
        <v>160</v>
      </c>
      <c r="R6" s="19" t="s">
        <v>239</v>
      </c>
      <c r="S6" s="25" t="s">
        <v>127</v>
      </c>
    </row>
    <row r="7" spans="1:19" ht="25" customHeight="1">
      <c r="A7" s="19" t="s">
        <v>73</v>
      </c>
      <c r="B7" s="20" t="s">
        <v>232</v>
      </c>
      <c r="C7" s="19" t="s">
        <v>233</v>
      </c>
      <c r="D7" s="19" t="s">
        <v>240</v>
      </c>
      <c r="E7" s="20" t="s">
        <v>241</v>
      </c>
      <c r="F7" s="21" t="s">
        <v>136</v>
      </c>
      <c r="G7" s="22">
        <v>14.650700001240001</v>
      </c>
      <c r="H7" s="22">
        <f t="shared" si="0"/>
        <v>4.8835666670800002</v>
      </c>
      <c r="I7" s="19" t="s">
        <v>123</v>
      </c>
      <c r="J7" s="19" t="s">
        <v>242</v>
      </c>
      <c r="K7" s="19" t="s">
        <v>124</v>
      </c>
      <c r="L7" s="21" t="s">
        <v>139</v>
      </c>
      <c r="M7" s="23">
        <v>4</v>
      </c>
      <c r="N7" s="21" t="s">
        <v>149</v>
      </c>
      <c r="O7" s="24" t="s">
        <v>126</v>
      </c>
      <c r="P7" s="25" t="s">
        <v>129</v>
      </c>
      <c r="Q7" s="19" t="s">
        <v>160</v>
      </c>
      <c r="R7" s="19" t="s">
        <v>243</v>
      </c>
      <c r="S7" s="25" t="s">
        <v>127</v>
      </c>
    </row>
    <row r="8" spans="1:19" ht="25" customHeight="1">
      <c r="A8" s="19" t="s">
        <v>73</v>
      </c>
      <c r="B8" s="20" t="s">
        <v>232</v>
      </c>
      <c r="C8" s="19" t="s">
        <v>233</v>
      </c>
      <c r="D8" s="19" t="s">
        <v>244</v>
      </c>
      <c r="E8" s="20" t="s">
        <v>245</v>
      </c>
      <c r="F8" s="21" t="s">
        <v>136</v>
      </c>
      <c r="G8" s="22">
        <v>10.877920001200001</v>
      </c>
      <c r="H8" s="22">
        <f t="shared" si="0"/>
        <v>3.625973333733334</v>
      </c>
      <c r="I8" s="19" t="s">
        <v>123</v>
      </c>
      <c r="J8" s="19" t="s">
        <v>202</v>
      </c>
      <c r="K8" s="19" t="s">
        <v>138</v>
      </c>
      <c r="L8" s="21" t="s">
        <v>139</v>
      </c>
      <c r="M8" s="23">
        <v>5</v>
      </c>
      <c r="N8" s="21" t="s">
        <v>140</v>
      </c>
      <c r="O8" s="24" t="s">
        <v>135</v>
      </c>
      <c r="P8" s="25" t="s">
        <v>129</v>
      </c>
      <c r="Q8" s="19" t="s">
        <v>160</v>
      </c>
      <c r="R8" s="19" t="s">
        <v>246</v>
      </c>
      <c r="S8" s="25" t="s">
        <v>127</v>
      </c>
    </row>
    <row r="9" spans="1:19" ht="25" customHeight="1">
      <c r="A9" s="19" t="s">
        <v>73</v>
      </c>
      <c r="B9" s="20" t="s">
        <v>232</v>
      </c>
      <c r="C9" s="19" t="s">
        <v>233</v>
      </c>
      <c r="D9" s="19" t="s">
        <v>247</v>
      </c>
      <c r="E9" s="20" t="s">
        <v>248</v>
      </c>
      <c r="F9" s="21" t="s">
        <v>136</v>
      </c>
      <c r="G9" s="22">
        <v>10.411600001600002</v>
      </c>
      <c r="H9" s="22">
        <f t="shared" si="0"/>
        <v>3.4705333338666673</v>
      </c>
      <c r="I9" s="19" t="s">
        <v>123</v>
      </c>
      <c r="J9" s="19" t="s">
        <v>148</v>
      </c>
      <c r="K9" s="19" t="s">
        <v>138</v>
      </c>
      <c r="L9" s="21" t="s">
        <v>139</v>
      </c>
      <c r="M9" s="23">
        <v>7</v>
      </c>
      <c r="N9" s="21" t="s">
        <v>149</v>
      </c>
      <c r="O9" s="24" t="s">
        <v>128</v>
      </c>
      <c r="P9" s="25" t="s">
        <v>129</v>
      </c>
      <c r="Q9" s="19" t="s">
        <v>160</v>
      </c>
      <c r="R9" s="19" t="s">
        <v>249</v>
      </c>
      <c r="S9" s="25" t="s">
        <v>127</v>
      </c>
    </row>
    <row r="10" spans="1:19" ht="25" customHeight="1">
      <c r="A10" s="19" t="s">
        <v>73</v>
      </c>
      <c r="B10" s="20" t="s">
        <v>232</v>
      </c>
      <c r="C10" s="19" t="s">
        <v>233</v>
      </c>
      <c r="D10" s="19" t="s">
        <v>250</v>
      </c>
      <c r="E10" s="20" t="s">
        <v>251</v>
      </c>
      <c r="F10" s="21" t="s">
        <v>136</v>
      </c>
      <c r="G10" s="22">
        <v>10.325952001540001</v>
      </c>
      <c r="H10" s="22">
        <f t="shared" si="0"/>
        <v>3.4419840005133335</v>
      </c>
      <c r="I10" s="19" t="s">
        <v>123</v>
      </c>
      <c r="J10" s="19" t="s">
        <v>252</v>
      </c>
      <c r="K10" s="19" t="s">
        <v>124</v>
      </c>
      <c r="L10" s="21" t="s">
        <v>139</v>
      </c>
      <c r="M10" s="23">
        <v>5</v>
      </c>
      <c r="N10" s="21" t="s">
        <v>140</v>
      </c>
      <c r="O10" s="24" t="s">
        <v>135</v>
      </c>
      <c r="P10" s="25" t="s">
        <v>129</v>
      </c>
      <c r="Q10" s="19" t="s">
        <v>160</v>
      </c>
      <c r="R10" s="19" t="s">
        <v>253</v>
      </c>
      <c r="S10" s="25" t="s">
        <v>127</v>
      </c>
    </row>
    <row r="11" spans="1:19" ht="25" customHeight="1">
      <c r="A11" s="19" t="s">
        <v>73</v>
      </c>
      <c r="B11" s="20" t="s">
        <v>232</v>
      </c>
      <c r="C11" s="19" t="s">
        <v>233</v>
      </c>
      <c r="D11" s="19" t="s">
        <v>254</v>
      </c>
      <c r="E11" s="20" t="s">
        <v>255</v>
      </c>
      <c r="F11" s="21" t="s">
        <v>136</v>
      </c>
      <c r="G11" s="22">
        <v>10.174000004160002</v>
      </c>
      <c r="H11" s="22">
        <f t="shared" si="0"/>
        <v>3.3913333347200005</v>
      </c>
      <c r="I11" s="19" t="s">
        <v>123</v>
      </c>
      <c r="J11" s="19" t="s">
        <v>203</v>
      </c>
      <c r="K11" s="19" t="s">
        <v>138</v>
      </c>
      <c r="L11" s="21" t="s">
        <v>139</v>
      </c>
      <c r="M11" s="23">
        <v>4</v>
      </c>
      <c r="N11" s="21" t="s">
        <v>149</v>
      </c>
      <c r="O11" s="24" t="s">
        <v>126</v>
      </c>
      <c r="P11" s="25" t="s">
        <v>129</v>
      </c>
      <c r="Q11" s="19" t="s">
        <v>160</v>
      </c>
      <c r="R11" s="19" t="s">
        <v>256</v>
      </c>
      <c r="S11" s="25" t="s">
        <v>127</v>
      </c>
    </row>
    <row r="12" spans="1:19" ht="25" customHeight="1">
      <c r="A12" s="19" t="s">
        <v>73</v>
      </c>
      <c r="B12" s="20" t="s">
        <v>232</v>
      </c>
      <c r="C12" s="19" t="s">
        <v>233</v>
      </c>
      <c r="D12" s="19" t="s">
        <v>257</v>
      </c>
      <c r="E12" s="20" t="s">
        <v>258</v>
      </c>
      <c r="F12" s="21" t="s">
        <v>136</v>
      </c>
      <c r="G12" s="22">
        <v>8.4974320016400018</v>
      </c>
      <c r="H12" s="22">
        <f t="shared" si="0"/>
        <v>2.8324773338800004</v>
      </c>
      <c r="I12" s="19" t="s">
        <v>123</v>
      </c>
      <c r="J12" s="19" t="s">
        <v>217</v>
      </c>
      <c r="K12" s="19" t="s">
        <v>124</v>
      </c>
      <c r="L12" s="21" t="s">
        <v>139</v>
      </c>
      <c r="M12" s="23">
        <v>5</v>
      </c>
      <c r="N12" s="21" t="s">
        <v>149</v>
      </c>
      <c r="O12" s="24" t="s">
        <v>135</v>
      </c>
      <c r="P12" s="25" t="s">
        <v>129</v>
      </c>
      <c r="Q12" s="19" t="s">
        <v>160</v>
      </c>
      <c r="R12" s="19" t="s">
        <v>259</v>
      </c>
      <c r="S12" s="25" t="s">
        <v>127</v>
      </c>
    </row>
    <row r="13" spans="1:19" ht="25" customHeight="1">
      <c r="A13" s="19" t="s">
        <v>73</v>
      </c>
      <c r="B13" s="20" t="s">
        <v>232</v>
      </c>
      <c r="C13" s="19" t="s">
        <v>233</v>
      </c>
      <c r="D13" s="19" t="s">
        <v>260</v>
      </c>
      <c r="E13" s="20" t="s">
        <v>261</v>
      </c>
      <c r="F13" s="21" t="s">
        <v>136</v>
      </c>
      <c r="G13" s="22">
        <v>8.3620000012000002</v>
      </c>
      <c r="H13" s="22">
        <f t="shared" si="0"/>
        <v>2.7873333337333333</v>
      </c>
      <c r="I13" s="19" t="s">
        <v>137</v>
      </c>
      <c r="J13" s="19" t="s">
        <v>262</v>
      </c>
      <c r="K13" s="19" t="s">
        <v>124</v>
      </c>
      <c r="L13" s="21" t="s">
        <v>139</v>
      </c>
      <c r="M13" s="23">
        <v>4</v>
      </c>
      <c r="N13" s="21" t="s">
        <v>140</v>
      </c>
      <c r="O13" s="24" t="s">
        <v>126</v>
      </c>
      <c r="P13" s="25" t="s">
        <v>129</v>
      </c>
      <c r="Q13" s="19" t="s">
        <v>160</v>
      </c>
      <c r="R13" s="19" t="s">
        <v>263</v>
      </c>
      <c r="S13" s="25" t="s">
        <v>127</v>
      </c>
    </row>
    <row r="14" spans="1:19" ht="25" customHeight="1">
      <c r="A14" s="19" t="s">
        <v>73</v>
      </c>
      <c r="B14" s="20" t="s">
        <v>232</v>
      </c>
      <c r="C14" s="19" t="s">
        <v>233</v>
      </c>
      <c r="D14" s="19" t="s">
        <v>264</v>
      </c>
      <c r="E14" s="20" t="s">
        <v>265</v>
      </c>
      <c r="F14" s="21" t="s">
        <v>136</v>
      </c>
      <c r="G14" s="22">
        <v>7.2286120020399993</v>
      </c>
      <c r="H14" s="22">
        <f t="shared" si="0"/>
        <v>2.4095373340133333</v>
      </c>
      <c r="I14" s="19" t="s">
        <v>123</v>
      </c>
      <c r="J14" s="19" t="s">
        <v>191</v>
      </c>
      <c r="K14" s="19" t="s">
        <v>124</v>
      </c>
      <c r="L14" s="21" t="s">
        <v>139</v>
      </c>
      <c r="M14" s="23">
        <v>3</v>
      </c>
      <c r="N14" s="21" t="s">
        <v>149</v>
      </c>
      <c r="O14" s="24" t="s">
        <v>131</v>
      </c>
      <c r="P14" s="25" t="s">
        <v>129</v>
      </c>
      <c r="Q14" s="19" t="s">
        <v>160</v>
      </c>
      <c r="R14" s="19" t="s">
        <v>266</v>
      </c>
      <c r="S14" s="25" t="s">
        <v>127</v>
      </c>
    </row>
    <row r="15" spans="1:19" ht="25" customHeight="1">
      <c r="A15" s="19" t="s">
        <v>73</v>
      </c>
      <c r="B15" s="20" t="s">
        <v>232</v>
      </c>
      <c r="C15" s="19" t="s">
        <v>233</v>
      </c>
      <c r="D15" s="19" t="s">
        <v>267</v>
      </c>
      <c r="E15" s="20" t="s">
        <v>268</v>
      </c>
      <c r="F15" s="21" t="s">
        <v>136</v>
      </c>
      <c r="G15" s="22">
        <v>7.1248240005400003</v>
      </c>
      <c r="H15" s="22">
        <f t="shared" si="0"/>
        <v>2.3749413335133336</v>
      </c>
      <c r="I15" s="19" t="s">
        <v>123</v>
      </c>
      <c r="J15" s="19" t="s">
        <v>200</v>
      </c>
      <c r="K15" s="19" t="s">
        <v>124</v>
      </c>
      <c r="L15" s="21" t="s">
        <v>139</v>
      </c>
      <c r="M15" s="23">
        <v>5</v>
      </c>
      <c r="N15" s="21" t="s">
        <v>140</v>
      </c>
      <c r="O15" s="24" t="s">
        <v>135</v>
      </c>
      <c r="P15" s="25" t="s">
        <v>129</v>
      </c>
      <c r="Q15" s="19" t="s">
        <v>160</v>
      </c>
      <c r="R15" s="19" t="s">
        <v>269</v>
      </c>
      <c r="S15" s="25" t="s">
        <v>127</v>
      </c>
    </row>
    <row r="16" spans="1:19" ht="25" customHeight="1">
      <c r="A16" s="19" t="s">
        <v>73</v>
      </c>
      <c r="B16" s="20" t="s">
        <v>232</v>
      </c>
      <c r="C16" s="19" t="s">
        <v>233</v>
      </c>
      <c r="D16" s="19" t="s">
        <v>270</v>
      </c>
      <c r="E16" s="20" t="s">
        <v>271</v>
      </c>
      <c r="F16" s="21" t="s">
        <v>136</v>
      </c>
      <c r="G16" s="22">
        <v>6.6406000013400002</v>
      </c>
      <c r="H16" s="22">
        <f t="shared" si="0"/>
        <v>2.2135333337800001</v>
      </c>
      <c r="I16" s="19" t="s">
        <v>123</v>
      </c>
      <c r="J16" s="19" t="s">
        <v>210</v>
      </c>
      <c r="K16" s="19" t="s">
        <v>124</v>
      </c>
      <c r="L16" s="21" t="s">
        <v>139</v>
      </c>
      <c r="M16" s="23">
        <v>2</v>
      </c>
      <c r="N16" s="21" t="s">
        <v>149</v>
      </c>
      <c r="O16" s="24" t="s">
        <v>134</v>
      </c>
      <c r="P16" s="25" t="s">
        <v>129</v>
      </c>
      <c r="Q16" s="19" t="s">
        <v>160</v>
      </c>
      <c r="R16" s="19" t="s">
        <v>272</v>
      </c>
      <c r="S16" s="25" t="s">
        <v>127</v>
      </c>
    </row>
    <row r="17" spans="1:19" ht="25" customHeight="1">
      <c r="A17" s="19" t="s">
        <v>73</v>
      </c>
      <c r="B17" s="20" t="s">
        <v>232</v>
      </c>
      <c r="C17" s="19" t="s">
        <v>233</v>
      </c>
      <c r="D17" s="19" t="s">
        <v>273</v>
      </c>
      <c r="E17" s="20" t="s">
        <v>274</v>
      </c>
      <c r="F17" s="21" t="s">
        <v>136</v>
      </c>
      <c r="G17" s="22">
        <v>6.3887680003199998</v>
      </c>
      <c r="H17" s="22">
        <f t="shared" si="0"/>
        <v>2.1295893334399998</v>
      </c>
      <c r="I17" s="19" t="s">
        <v>123</v>
      </c>
      <c r="J17" s="19" t="s">
        <v>133</v>
      </c>
      <c r="K17" s="19" t="s">
        <v>124</v>
      </c>
      <c r="L17" s="21" t="s">
        <v>139</v>
      </c>
      <c r="M17" s="23">
        <v>2</v>
      </c>
      <c r="N17" s="21" t="s">
        <v>140</v>
      </c>
      <c r="O17" s="24" t="s">
        <v>134</v>
      </c>
      <c r="P17" s="25" t="s">
        <v>129</v>
      </c>
      <c r="Q17" s="19" t="s">
        <v>160</v>
      </c>
      <c r="R17" s="19" t="s">
        <v>275</v>
      </c>
      <c r="S17" s="25" t="s">
        <v>127</v>
      </c>
    </row>
    <row r="18" spans="1:19" ht="25" customHeight="1">
      <c r="A18" s="19" t="s">
        <v>73</v>
      </c>
      <c r="B18" s="20" t="s">
        <v>75</v>
      </c>
      <c r="C18" s="19" t="s">
        <v>156</v>
      </c>
      <c r="D18" s="19" t="s">
        <v>276</v>
      </c>
      <c r="E18" s="20" t="s">
        <v>277</v>
      </c>
      <c r="F18" s="21" t="s">
        <v>136</v>
      </c>
      <c r="G18" s="22">
        <v>29.474968001120001</v>
      </c>
      <c r="H18" s="22">
        <f t="shared" si="0"/>
        <v>9.8249893337066663</v>
      </c>
      <c r="I18" s="19" t="s">
        <v>123</v>
      </c>
      <c r="J18" s="19" t="s">
        <v>141</v>
      </c>
      <c r="K18" s="19" t="s">
        <v>124</v>
      </c>
      <c r="L18" s="21" t="s">
        <v>139</v>
      </c>
      <c r="M18" s="23">
        <v>4</v>
      </c>
      <c r="N18" s="21" t="s">
        <v>140</v>
      </c>
      <c r="O18" s="24" t="s">
        <v>126</v>
      </c>
      <c r="P18" s="25" t="s">
        <v>129</v>
      </c>
      <c r="Q18" s="19" t="s">
        <v>160</v>
      </c>
      <c r="R18" s="19" t="s">
        <v>278</v>
      </c>
      <c r="S18" s="25" t="s">
        <v>127</v>
      </c>
    </row>
    <row r="19" spans="1:19" ht="25" customHeight="1">
      <c r="A19" s="19" t="s">
        <v>73</v>
      </c>
      <c r="B19" s="20" t="s">
        <v>75</v>
      </c>
      <c r="C19" s="19" t="s">
        <v>156</v>
      </c>
      <c r="D19" s="19" t="s">
        <v>279</v>
      </c>
      <c r="E19" s="20" t="s">
        <v>280</v>
      </c>
      <c r="F19" s="21" t="s">
        <v>136</v>
      </c>
      <c r="G19" s="22">
        <v>16.642312003279997</v>
      </c>
      <c r="H19" s="22">
        <f t="shared" si="0"/>
        <v>5.5474373344266654</v>
      </c>
      <c r="I19" s="19" t="s">
        <v>123</v>
      </c>
      <c r="J19" s="19" t="s">
        <v>184</v>
      </c>
      <c r="K19" s="19" t="s">
        <v>124</v>
      </c>
      <c r="L19" s="21" t="s">
        <v>139</v>
      </c>
      <c r="M19" s="23">
        <v>6</v>
      </c>
      <c r="N19" s="21" t="s">
        <v>140</v>
      </c>
      <c r="O19" s="24" t="s">
        <v>132</v>
      </c>
      <c r="P19" s="25" t="s">
        <v>129</v>
      </c>
      <c r="Q19" s="19" t="s">
        <v>160</v>
      </c>
      <c r="R19" s="19" t="s">
        <v>281</v>
      </c>
      <c r="S19" s="25" t="s">
        <v>127</v>
      </c>
    </row>
    <row r="20" spans="1:19" ht="25" customHeight="1">
      <c r="A20" s="19" t="s">
        <v>73</v>
      </c>
      <c r="B20" s="20" t="s">
        <v>75</v>
      </c>
      <c r="C20" s="19" t="s">
        <v>156</v>
      </c>
      <c r="D20" s="19" t="s">
        <v>282</v>
      </c>
      <c r="E20" s="20" t="s">
        <v>283</v>
      </c>
      <c r="F20" s="21" t="s">
        <v>136</v>
      </c>
      <c r="G20" s="22">
        <v>13.096764004339999</v>
      </c>
      <c r="H20" s="22">
        <f t="shared" si="0"/>
        <v>4.3655880014466666</v>
      </c>
      <c r="I20" s="19" t="s">
        <v>123</v>
      </c>
      <c r="J20" s="19" t="s">
        <v>284</v>
      </c>
      <c r="K20" s="19" t="s">
        <v>124</v>
      </c>
      <c r="L20" s="21" t="s">
        <v>139</v>
      </c>
      <c r="M20" s="23">
        <v>3</v>
      </c>
      <c r="N20" s="21" t="s">
        <v>140</v>
      </c>
      <c r="O20" s="24" t="s">
        <v>131</v>
      </c>
      <c r="P20" s="25" t="s">
        <v>129</v>
      </c>
      <c r="Q20" s="19" t="s">
        <v>160</v>
      </c>
      <c r="R20" s="19" t="s">
        <v>285</v>
      </c>
      <c r="S20" s="25" t="s">
        <v>127</v>
      </c>
    </row>
    <row r="21" spans="1:19" ht="25" customHeight="1">
      <c r="A21" s="19" t="s">
        <v>73</v>
      </c>
      <c r="B21" s="20" t="s">
        <v>75</v>
      </c>
      <c r="C21" s="19" t="s">
        <v>156</v>
      </c>
      <c r="D21" s="19" t="s">
        <v>286</v>
      </c>
      <c r="E21" s="20" t="s">
        <v>287</v>
      </c>
      <c r="F21" s="21" t="s">
        <v>136</v>
      </c>
      <c r="G21" s="22">
        <v>12.518800000799999</v>
      </c>
      <c r="H21" s="22">
        <f t="shared" si="0"/>
        <v>4.1729333335999996</v>
      </c>
      <c r="I21" s="19" t="s">
        <v>123</v>
      </c>
      <c r="J21" s="19" t="s">
        <v>147</v>
      </c>
      <c r="K21" s="19" t="s">
        <v>138</v>
      </c>
      <c r="L21" s="21" t="s">
        <v>139</v>
      </c>
      <c r="M21" s="23">
        <v>2</v>
      </c>
      <c r="N21" s="21" t="s">
        <v>149</v>
      </c>
      <c r="O21" s="24" t="s">
        <v>134</v>
      </c>
      <c r="P21" s="25" t="s">
        <v>129</v>
      </c>
      <c r="Q21" s="19" t="s">
        <v>160</v>
      </c>
      <c r="R21" s="19" t="s">
        <v>288</v>
      </c>
      <c r="S21" s="25" t="s">
        <v>127</v>
      </c>
    </row>
    <row r="22" spans="1:19" ht="25" customHeight="1">
      <c r="A22" s="19" t="s">
        <v>73</v>
      </c>
      <c r="B22" s="20" t="s">
        <v>75</v>
      </c>
      <c r="C22" s="19" t="s">
        <v>156</v>
      </c>
      <c r="D22" s="19" t="s">
        <v>289</v>
      </c>
      <c r="E22" s="20" t="s">
        <v>290</v>
      </c>
      <c r="F22" s="21" t="s">
        <v>136</v>
      </c>
      <c r="G22" s="22">
        <v>12.298652001619999</v>
      </c>
      <c r="H22" s="22">
        <f t="shared" si="0"/>
        <v>4.0995506672066666</v>
      </c>
      <c r="I22" s="19" t="s">
        <v>123</v>
      </c>
      <c r="J22" s="19" t="s">
        <v>291</v>
      </c>
      <c r="K22" s="19" t="s">
        <v>124</v>
      </c>
      <c r="L22" s="21" t="s">
        <v>139</v>
      </c>
      <c r="M22" s="23">
        <v>3</v>
      </c>
      <c r="N22" s="21" t="s">
        <v>149</v>
      </c>
      <c r="O22" s="24" t="s">
        <v>131</v>
      </c>
      <c r="P22" s="25" t="s">
        <v>129</v>
      </c>
      <c r="Q22" s="19" t="s">
        <v>160</v>
      </c>
      <c r="R22" s="19" t="s">
        <v>292</v>
      </c>
      <c r="S22" s="25" t="s">
        <v>127</v>
      </c>
    </row>
    <row r="23" spans="1:19" ht="25" customHeight="1">
      <c r="A23" s="19" t="s">
        <v>73</v>
      </c>
      <c r="B23" s="20" t="s">
        <v>75</v>
      </c>
      <c r="C23" s="19" t="s">
        <v>156</v>
      </c>
      <c r="D23" s="19" t="s">
        <v>293</v>
      </c>
      <c r="E23" s="20" t="s">
        <v>294</v>
      </c>
      <c r="F23" s="21" t="s">
        <v>136</v>
      </c>
      <c r="G23" s="22">
        <v>10.902536002270002</v>
      </c>
      <c r="H23" s="22">
        <f t="shared" si="0"/>
        <v>3.6341786674233343</v>
      </c>
      <c r="I23" s="19" t="s">
        <v>123</v>
      </c>
      <c r="J23" s="19" t="s">
        <v>190</v>
      </c>
      <c r="K23" s="19" t="s">
        <v>124</v>
      </c>
      <c r="L23" s="21" t="s">
        <v>139</v>
      </c>
      <c r="M23" s="23">
        <v>7</v>
      </c>
      <c r="N23" s="21" t="s">
        <v>140</v>
      </c>
      <c r="O23" s="24" t="s">
        <v>128</v>
      </c>
      <c r="P23" s="25" t="s">
        <v>129</v>
      </c>
      <c r="Q23" s="19" t="s">
        <v>160</v>
      </c>
      <c r="R23" s="19" t="s">
        <v>295</v>
      </c>
      <c r="S23" s="25" t="s">
        <v>127</v>
      </c>
    </row>
    <row r="24" spans="1:19" ht="25" customHeight="1">
      <c r="A24" s="19" t="s">
        <v>73</v>
      </c>
      <c r="B24" s="20" t="s">
        <v>75</v>
      </c>
      <c r="C24" s="19" t="s">
        <v>156</v>
      </c>
      <c r="D24" s="19" t="s">
        <v>296</v>
      </c>
      <c r="E24" s="20" t="s">
        <v>297</v>
      </c>
      <c r="F24" s="21" t="s">
        <v>136</v>
      </c>
      <c r="G24" s="22">
        <v>9.2365120003700003</v>
      </c>
      <c r="H24" s="22">
        <f t="shared" ref="H24:H87" si="1">G24/3</f>
        <v>3.0788373334566668</v>
      </c>
      <c r="I24" s="19" t="s">
        <v>123</v>
      </c>
      <c r="J24" s="19" t="s">
        <v>298</v>
      </c>
      <c r="K24" s="19" t="s">
        <v>124</v>
      </c>
      <c r="L24" s="21" t="s">
        <v>139</v>
      </c>
      <c r="M24" s="23">
        <v>5</v>
      </c>
      <c r="N24" s="21" t="s">
        <v>140</v>
      </c>
      <c r="O24" s="24" t="s">
        <v>135</v>
      </c>
      <c r="P24" s="25" t="s">
        <v>129</v>
      </c>
      <c r="Q24" s="19" t="s">
        <v>160</v>
      </c>
      <c r="R24" s="19" t="s">
        <v>299</v>
      </c>
      <c r="S24" s="25" t="s">
        <v>127</v>
      </c>
    </row>
    <row r="25" spans="1:19" ht="25" customHeight="1">
      <c r="A25" s="19" t="s">
        <v>73</v>
      </c>
      <c r="B25" s="20" t="s">
        <v>75</v>
      </c>
      <c r="C25" s="19" t="s">
        <v>156</v>
      </c>
      <c r="D25" s="19" t="s">
        <v>300</v>
      </c>
      <c r="E25" s="20" t="s">
        <v>301</v>
      </c>
      <c r="F25" s="21" t="s">
        <v>136</v>
      </c>
      <c r="G25" s="22">
        <v>7.4499120018799978</v>
      </c>
      <c r="H25" s="22">
        <f t="shared" si="1"/>
        <v>2.4833040006266658</v>
      </c>
      <c r="I25" s="19" t="s">
        <v>123</v>
      </c>
      <c r="J25" s="19" t="s">
        <v>206</v>
      </c>
      <c r="K25" s="19" t="s">
        <v>124</v>
      </c>
      <c r="L25" s="21" t="s">
        <v>139</v>
      </c>
      <c r="M25" s="23">
        <v>5</v>
      </c>
      <c r="N25" s="21" t="s">
        <v>140</v>
      </c>
      <c r="O25" s="24" t="s">
        <v>135</v>
      </c>
      <c r="P25" s="25" t="s">
        <v>129</v>
      </c>
      <c r="Q25" s="19" t="s">
        <v>160</v>
      </c>
      <c r="R25" s="19" t="s">
        <v>302</v>
      </c>
      <c r="S25" s="25" t="s">
        <v>127</v>
      </c>
    </row>
    <row r="26" spans="1:19" ht="25" customHeight="1">
      <c r="A26" s="19" t="s">
        <v>73</v>
      </c>
      <c r="B26" s="20" t="s">
        <v>75</v>
      </c>
      <c r="C26" s="19" t="s">
        <v>156</v>
      </c>
      <c r="D26" s="19" t="s">
        <v>303</v>
      </c>
      <c r="E26" s="20" t="s">
        <v>304</v>
      </c>
      <c r="F26" s="21" t="s">
        <v>136</v>
      </c>
      <c r="G26" s="22">
        <v>6.7782400010599995</v>
      </c>
      <c r="H26" s="22">
        <f t="shared" si="1"/>
        <v>2.2594133336866666</v>
      </c>
      <c r="I26" s="19" t="s">
        <v>123</v>
      </c>
      <c r="J26" s="19" t="s">
        <v>183</v>
      </c>
      <c r="K26" s="19" t="s">
        <v>124</v>
      </c>
      <c r="L26" s="21" t="s">
        <v>139</v>
      </c>
      <c r="M26" s="23">
        <v>6</v>
      </c>
      <c r="N26" s="21" t="s">
        <v>149</v>
      </c>
      <c r="O26" s="24" t="s">
        <v>132</v>
      </c>
      <c r="P26" s="25" t="s">
        <v>129</v>
      </c>
      <c r="Q26" s="19" t="s">
        <v>160</v>
      </c>
      <c r="R26" s="19" t="s">
        <v>305</v>
      </c>
      <c r="S26" s="25" t="s">
        <v>127</v>
      </c>
    </row>
    <row r="27" spans="1:19" ht="25" customHeight="1">
      <c r="A27" s="19" t="s">
        <v>73</v>
      </c>
      <c r="B27" s="20" t="s">
        <v>76</v>
      </c>
      <c r="C27" s="19" t="s">
        <v>162</v>
      </c>
      <c r="D27" s="19" t="s">
        <v>306</v>
      </c>
      <c r="E27" s="20" t="s">
        <v>307</v>
      </c>
      <c r="F27" s="21" t="s">
        <v>136</v>
      </c>
      <c r="G27" s="22">
        <v>13.25512000304</v>
      </c>
      <c r="H27" s="22">
        <f t="shared" si="1"/>
        <v>4.4183733343466667</v>
      </c>
      <c r="I27" s="19" t="s">
        <v>123</v>
      </c>
      <c r="J27" s="19" t="s">
        <v>308</v>
      </c>
      <c r="K27" s="19" t="s">
        <v>124</v>
      </c>
      <c r="L27" s="21" t="s">
        <v>139</v>
      </c>
      <c r="M27" s="23">
        <v>7</v>
      </c>
      <c r="N27" s="21" t="s">
        <v>140</v>
      </c>
      <c r="O27" s="24" t="s">
        <v>128</v>
      </c>
      <c r="P27" s="25" t="s">
        <v>129</v>
      </c>
      <c r="Q27" s="19" t="s">
        <v>165</v>
      </c>
      <c r="R27" s="19" t="s">
        <v>309</v>
      </c>
      <c r="S27" s="25" t="s">
        <v>127</v>
      </c>
    </row>
    <row r="28" spans="1:19" ht="25" customHeight="1">
      <c r="A28" s="19" t="s">
        <v>73</v>
      </c>
      <c r="B28" s="20" t="s">
        <v>76</v>
      </c>
      <c r="C28" s="19" t="s">
        <v>162</v>
      </c>
      <c r="D28" s="19" t="s">
        <v>310</v>
      </c>
      <c r="E28" s="20" t="s">
        <v>311</v>
      </c>
      <c r="F28" s="21" t="s">
        <v>136</v>
      </c>
      <c r="G28" s="22">
        <v>8.3262240020699991</v>
      </c>
      <c r="H28" s="22">
        <f t="shared" si="1"/>
        <v>2.7754080006899997</v>
      </c>
      <c r="I28" s="19" t="s">
        <v>123</v>
      </c>
      <c r="J28" s="19" t="s">
        <v>189</v>
      </c>
      <c r="K28" s="19" t="s">
        <v>124</v>
      </c>
      <c r="L28" s="21" t="s">
        <v>139</v>
      </c>
      <c r="M28" s="23">
        <v>7</v>
      </c>
      <c r="N28" s="21" t="s">
        <v>149</v>
      </c>
      <c r="O28" s="24" t="s">
        <v>128</v>
      </c>
      <c r="P28" s="25" t="s">
        <v>129</v>
      </c>
      <c r="Q28" s="19" t="s">
        <v>165</v>
      </c>
      <c r="R28" s="19" t="s">
        <v>312</v>
      </c>
      <c r="S28" s="25" t="s">
        <v>127</v>
      </c>
    </row>
    <row r="29" spans="1:19" ht="25" customHeight="1">
      <c r="A29" s="19" t="s">
        <v>73</v>
      </c>
      <c r="B29" s="20" t="s">
        <v>76</v>
      </c>
      <c r="C29" s="19" t="s">
        <v>162</v>
      </c>
      <c r="D29" s="19" t="s">
        <v>313</v>
      </c>
      <c r="E29" s="20" t="s">
        <v>314</v>
      </c>
      <c r="F29" s="21" t="s">
        <v>136</v>
      </c>
      <c r="G29" s="22">
        <v>7.667624001200001</v>
      </c>
      <c r="H29" s="22">
        <f t="shared" si="1"/>
        <v>2.555874667066667</v>
      </c>
      <c r="I29" s="19" t="s">
        <v>123</v>
      </c>
      <c r="J29" s="19" t="s">
        <v>180</v>
      </c>
      <c r="K29" s="19" t="s">
        <v>124</v>
      </c>
      <c r="L29" s="21" t="s">
        <v>139</v>
      </c>
      <c r="M29" s="23">
        <v>3</v>
      </c>
      <c r="N29" s="21" t="s">
        <v>140</v>
      </c>
      <c r="O29" s="24" t="s">
        <v>131</v>
      </c>
      <c r="P29" s="25" t="s">
        <v>129</v>
      </c>
      <c r="Q29" s="19" t="s">
        <v>165</v>
      </c>
      <c r="R29" s="19" t="s">
        <v>315</v>
      </c>
      <c r="S29" s="25" t="s">
        <v>127</v>
      </c>
    </row>
    <row r="30" spans="1:19" ht="25" customHeight="1">
      <c r="A30" s="19" t="s">
        <v>73</v>
      </c>
      <c r="B30" s="20" t="s">
        <v>76</v>
      </c>
      <c r="C30" s="19" t="s">
        <v>162</v>
      </c>
      <c r="D30" s="19" t="s">
        <v>316</v>
      </c>
      <c r="E30" s="20" t="s">
        <v>317</v>
      </c>
      <c r="F30" s="21" t="s">
        <v>136</v>
      </c>
      <c r="G30" s="22">
        <v>7.1002000013800002</v>
      </c>
      <c r="H30" s="22">
        <f t="shared" si="1"/>
        <v>2.3667333337933334</v>
      </c>
      <c r="I30" s="19" t="s">
        <v>123</v>
      </c>
      <c r="J30" s="19" t="s">
        <v>197</v>
      </c>
      <c r="K30" s="19" t="s">
        <v>124</v>
      </c>
      <c r="L30" s="21" t="s">
        <v>139</v>
      </c>
      <c r="M30" s="23">
        <v>3</v>
      </c>
      <c r="N30" s="21" t="s">
        <v>149</v>
      </c>
      <c r="O30" s="24" t="s">
        <v>131</v>
      </c>
      <c r="P30" s="25" t="s">
        <v>129</v>
      </c>
      <c r="Q30" s="19" t="s">
        <v>165</v>
      </c>
      <c r="R30" s="19" t="s">
        <v>318</v>
      </c>
      <c r="S30" s="25" t="s">
        <v>127</v>
      </c>
    </row>
    <row r="31" spans="1:19" ht="25" customHeight="1">
      <c r="A31" s="19" t="s">
        <v>73</v>
      </c>
      <c r="B31" s="20" t="s">
        <v>76</v>
      </c>
      <c r="C31" s="19" t="s">
        <v>162</v>
      </c>
      <c r="D31" s="19" t="s">
        <v>319</v>
      </c>
      <c r="E31" s="20" t="s">
        <v>320</v>
      </c>
      <c r="F31" s="21" t="s">
        <v>136</v>
      </c>
      <c r="G31" s="22">
        <v>6.8884240022599998</v>
      </c>
      <c r="H31" s="22">
        <f t="shared" si="1"/>
        <v>2.2961413340866668</v>
      </c>
      <c r="I31" s="19" t="s">
        <v>123</v>
      </c>
      <c r="J31" s="19" t="s">
        <v>216</v>
      </c>
      <c r="K31" s="19" t="s">
        <v>124</v>
      </c>
      <c r="L31" s="21" t="s">
        <v>139</v>
      </c>
      <c r="M31" s="23">
        <v>2</v>
      </c>
      <c r="N31" s="21" t="s">
        <v>140</v>
      </c>
      <c r="O31" s="24" t="s">
        <v>134</v>
      </c>
      <c r="P31" s="25" t="s">
        <v>129</v>
      </c>
      <c r="Q31" s="19" t="s">
        <v>165</v>
      </c>
      <c r="R31" s="19" t="s">
        <v>321</v>
      </c>
      <c r="S31" s="25" t="s">
        <v>127</v>
      </c>
    </row>
    <row r="32" spans="1:19" ht="25" customHeight="1">
      <c r="A32" s="19" t="s">
        <v>73</v>
      </c>
      <c r="B32" s="20" t="s">
        <v>76</v>
      </c>
      <c r="C32" s="19" t="s">
        <v>162</v>
      </c>
      <c r="D32" s="19" t="s">
        <v>322</v>
      </c>
      <c r="E32" s="20" t="s">
        <v>323</v>
      </c>
      <c r="F32" s="21" t="s">
        <v>136</v>
      </c>
      <c r="G32" s="22">
        <v>6.2621120017199994</v>
      </c>
      <c r="H32" s="22">
        <f t="shared" si="1"/>
        <v>2.0873706672399996</v>
      </c>
      <c r="I32" s="19" t="s">
        <v>123</v>
      </c>
      <c r="J32" s="19" t="s">
        <v>179</v>
      </c>
      <c r="K32" s="19" t="s">
        <v>124</v>
      </c>
      <c r="L32" s="21" t="s">
        <v>139</v>
      </c>
      <c r="M32" s="23">
        <v>7</v>
      </c>
      <c r="N32" s="21" t="s">
        <v>149</v>
      </c>
      <c r="O32" s="24" t="s">
        <v>128</v>
      </c>
      <c r="P32" s="25" t="s">
        <v>129</v>
      </c>
      <c r="Q32" s="19" t="s">
        <v>165</v>
      </c>
      <c r="R32" s="19" t="s">
        <v>324</v>
      </c>
      <c r="S32" s="25" t="s">
        <v>127</v>
      </c>
    </row>
    <row r="33" spans="1:19" ht="25" customHeight="1">
      <c r="A33" s="19" t="s">
        <v>73</v>
      </c>
      <c r="B33" s="20" t="s">
        <v>76</v>
      </c>
      <c r="C33" s="19" t="s">
        <v>162</v>
      </c>
      <c r="D33" s="19" t="s">
        <v>325</v>
      </c>
      <c r="E33" s="20" t="s">
        <v>326</v>
      </c>
      <c r="F33" s="21" t="s">
        <v>136</v>
      </c>
      <c r="G33" s="22">
        <v>6.2567120011400004</v>
      </c>
      <c r="H33" s="22">
        <f t="shared" si="1"/>
        <v>2.0855706670466669</v>
      </c>
      <c r="I33" s="19" t="s">
        <v>123</v>
      </c>
      <c r="J33" s="19" t="s">
        <v>148</v>
      </c>
      <c r="K33" s="19" t="s">
        <v>124</v>
      </c>
      <c r="L33" s="21" t="s">
        <v>139</v>
      </c>
      <c r="M33" s="23">
        <v>5</v>
      </c>
      <c r="N33" s="21" t="s">
        <v>140</v>
      </c>
      <c r="O33" s="24" t="s">
        <v>135</v>
      </c>
      <c r="P33" s="25" t="s">
        <v>129</v>
      </c>
      <c r="Q33" s="19" t="s">
        <v>165</v>
      </c>
      <c r="R33" s="19" t="s">
        <v>327</v>
      </c>
      <c r="S33" s="25" t="s">
        <v>127</v>
      </c>
    </row>
    <row r="34" spans="1:19" ht="25" customHeight="1">
      <c r="A34" s="19" t="s">
        <v>73</v>
      </c>
      <c r="B34" s="20" t="s">
        <v>328</v>
      </c>
      <c r="C34" s="19" t="s">
        <v>329</v>
      </c>
      <c r="D34" s="19" t="s">
        <v>330</v>
      </c>
      <c r="E34" s="20" t="s">
        <v>331</v>
      </c>
      <c r="F34" s="21" t="s">
        <v>136</v>
      </c>
      <c r="G34" s="22">
        <v>14.275656001559998</v>
      </c>
      <c r="H34" s="22">
        <f t="shared" si="1"/>
        <v>4.758552000519999</v>
      </c>
      <c r="I34" s="19" t="s">
        <v>123</v>
      </c>
      <c r="J34" s="19" t="s">
        <v>191</v>
      </c>
      <c r="K34" s="19" t="s">
        <v>124</v>
      </c>
      <c r="L34" s="21" t="s">
        <v>139</v>
      </c>
      <c r="M34" s="23">
        <v>5</v>
      </c>
      <c r="N34" s="21" t="s">
        <v>149</v>
      </c>
      <c r="O34" s="24" t="s">
        <v>135</v>
      </c>
      <c r="P34" s="25" t="s">
        <v>129</v>
      </c>
      <c r="Q34" s="19" t="s">
        <v>165</v>
      </c>
      <c r="R34" s="19" t="s">
        <v>332</v>
      </c>
      <c r="S34" s="25" t="s">
        <v>127</v>
      </c>
    </row>
    <row r="35" spans="1:19" ht="25" customHeight="1">
      <c r="A35" s="19" t="s">
        <v>73</v>
      </c>
      <c r="B35" s="20" t="s">
        <v>328</v>
      </c>
      <c r="C35" s="19" t="s">
        <v>329</v>
      </c>
      <c r="D35" s="19" t="s">
        <v>333</v>
      </c>
      <c r="E35" s="20" t="s">
        <v>334</v>
      </c>
      <c r="F35" s="21" t="s">
        <v>136</v>
      </c>
      <c r="G35" s="22">
        <v>8.0184000013799999</v>
      </c>
      <c r="H35" s="22">
        <f t="shared" si="1"/>
        <v>2.6728000004600001</v>
      </c>
      <c r="I35" s="19" t="s">
        <v>123</v>
      </c>
      <c r="J35" s="19" t="s">
        <v>335</v>
      </c>
      <c r="K35" s="19" t="s">
        <v>124</v>
      </c>
      <c r="L35" s="21" t="s">
        <v>139</v>
      </c>
      <c r="M35" s="23">
        <v>2</v>
      </c>
      <c r="N35" s="21" t="s">
        <v>149</v>
      </c>
      <c r="O35" s="24" t="s">
        <v>134</v>
      </c>
      <c r="P35" s="25" t="s">
        <v>129</v>
      </c>
      <c r="Q35" s="19" t="s">
        <v>165</v>
      </c>
      <c r="R35" s="19" t="s">
        <v>336</v>
      </c>
      <c r="S35" s="25" t="s">
        <v>127</v>
      </c>
    </row>
    <row r="36" spans="1:19" ht="25" customHeight="1">
      <c r="A36" s="19" t="s">
        <v>73</v>
      </c>
      <c r="B36" s="20" t="s">
        <v>328</v>
      </c>
      <c r="C36" s="19" t="s">
        <v>329</v>
      </c>
      <c r="D36" s="19" t="s">
        <v>337</v>
      </c>
      <c r="E36" s="20" t="s">
        <v>338</v>
      </c>
      <c r="F36" s="21" t="s">
        <v>136</v>
      </c>
      <c r="G36" s="22">
        <v>7.6467720016700014</v>
      </c>
      <c r="H36" s="22">
        <f t="shared" si="1"/>
        <v>2.5489240005566671</v>
      </c>
      <c r="I36" s="19" t="s">
        <v>123</v>
      </c>
      <c r="J36" s="19" t="s">
        <v>180</v>
      </c>
      <c r="K36" s="19" t="s">
        <v>124</v>
      </c>
      <c r="L36" s="21" t="s">
        <v>139</v>
      </c>
      <c r="M36" s="23">
        <v>5</v>
      </c>
      <c r="N36" s="21" t="s">
        <v>149</v>
      </c>
      <c r="O36" s="24" t="s">
        <v>135</v>
      </c>
      <c r="P36" s="25" t="s">
        <v>129</v>
      </c>
      <c r="Q36" s="19" t="s">
        <v>165</v>
      </c>
      <c r="R36" s="19" t="s">
        <v>339</v>
      </c>
      <c r="S36" s="25" t="s">
        <v>127</v>
      </c>
    </row>
    <row r="37" spans="1:19" ht="25" customHeight="1">
      <c r="A37" s="19" t="s">
        <v>73</v>
      </c>
      <c r="B37" s="20" t="s">
        <v>328</v>
      </c>
      <c r="C37" s="19" t="s">
        <v>329</v>
      </c>
      <c r="D37" s="19" t="s">
        <v>340</v>
      </c>
      <c r="E37" s="20" t="s">
        <v>341</v>
      </c>
      <c r="F37" s="21" t="s">
        <v>136</v>
      </c>
      <c r="G37" s="22">
        <v>7.6128000020399993</v>
      </c>
      <c r="H37" s="22">
        <f t="shared" si="1"/>
        <v>2.5376000006799999</v>
      </c>
      <c r="I37" s="19" t="s">
        <v>123</v>
      </c>
      <c r="J37" s="19" t="s">
        <v>291</v>
      </c>
      <c r="K37" s="19" t="s">
        <v>124</v>
      </c>
      <c r="L37" s="21" t="s">
        <v>139</v>
      </c>
      <c r="M37" s="23">
        <v>6</v>
      </c>
      <c r="N37" s="21" t="s">
        <v>140</v>
      </c>
      <c r="O37" s="24" t="s">
        <v>132</v>
      </c>
      <c r="P37" s="25" t="s">
        <v>129</v>
      </c>
      <c r="Q37" s="19" t="s">
        <v>165</v>
      </c>
      <c r="R37" s="19" t="s">
        <v>342</v>
      </c>
      <c r="S37" s="25" t="s">
        <v>127</v>
      </c>
    </row>
    <row r="38" spans="1:19" ht="25" customHeight="1">
      <c r="A38" s="19" t="s">
        <v>73</v>
      </c>
      <c r="B38" s="20" t="s">
        <v>328</v>
      </c>
      <c r="C38" s="19" t="s">
        <v>329</v>
      </c>
      <c r="D38" s="19" t="s">
        <v>343</v>
      </c>
      <c r="E38" s="20" t="s">
        <v>344</v>
      </c>
      <c r="F38" s="21" t="s">
        <v>136</v>
      </c>
      <c r="G38" s="22">
        <v>6.9955480007199995</v>
      </c>
      <c r="H38" s="22">
        <f t="shared" si="1"/>
        <v>2.331849333573333</v>
      </c>
      <c r="I38" s="19" t="s">
        <v>123</v>
      </c>
      <c r="J38" s="19" t="s">
        <v>206</v>
      </c>
      <c r="K38" s="19" t="s">
        <v>124</v>
      </c>
      <c r="L38" s="21" t="s">
        <v>139</v>
      </c>
      <c r="M38" s="23">
        <v>7</v>
      </c>
      <c r="N38" s="21" t="s">
        <v>140</v>
      </c>
      <c r="O38" s="24" t="s">
        <v>128</v>
      </c>
      <c r="P38" s="25" t="s">
        <v>129</v>
      </c>
      <c r="Q38" s="19" t="s">
        <v>165</v>
      </c>
      <c r="R38" s="19" t="s">
        <v>345</v>
      </c>
      <c r="S38" s="25" t="s">
        <v>127</v>
      </c>
    </row>
    <row r="39" spans="1:19" ht="25" customHeight="1">
      <c r="A39" s="19" t="s">
        <v>73</v>
      </c>
      <c r="B39" s="20" t="s">
        <v>328</v>
      </c>
      <c r="C39" s="19" t="s">
        <v>329</v>
      </c>
      <c r="D39" s="19" t="s">
        <v>346</v>
      </c>
      <c r="E39" s="20" t="s">
        <v>347</v>
      </c>
      <c r="F39" s="21" t="s">
        <v>136</v>
      </c>
      <c r="G39" s="22">
        <v>6.9388000007199997</v>
      </c>
      <c r="H39" s="22">
        <f t="shared" si="1"/>
        <v>2.3129333335733331</v>
      </c>
      <c r="I39" s="19" t="s">
        <v>123</v>
      </c>
      <c r="J39" s="19" t="s">
        <v>348</v>
      </c>
      <c r="K39" s="19" t="s">
        <v>124</v>
      </c>
      <c r="L39" s="21" t="s">
        <v>139</v>
      </c>
      <c r="M39" s="23">
        <v>7</v>
      </c>
      <c r="N39" s="21" t="s">
        <v>149</v>
      </c>
      <c r="O39" s="24" t="s">
        <v>128</v>
      </c>
      <c r="P39" s="25" t="s">
        <v>129</v>
      </c>
      <c r="Q39" s="19" t="s">
        <v>165</v>
      </c>
      <c r="R39" s="19" t="s">
        <v>349</v>
      </c>
      <c r="S39" s="25" t="s">
        <v>127</v>
      </c>
    </row>
    <row r="40" spans="1:19" ht="25" customHeight="1">
      <c r="A40" s="19" t="s">
        <v>73</v>
      </c>
      <c r="B40" s="20" t="s">
        <v>77</v>
      </c>
      <c r="C40" s="19" t="s">
        <v>167</v>
      </c>
      <c r="D40" s="19" t="s">
        <v>350</v>
      </c>
      <c r="E40" s="20" t="s">
        <v>351</v>
      </c>
      <c r="F40" s="21" t="s">
        <v>136</v>
      </c>
      <c r="G40" s="22">
        <v>7.8673440013399993</v>
      </c>
      <c r="H40" s="22">
        <f t="shared" si="1"/>
        <v>2.6224480004466666</v>
      </c>
      <c r="I40" s="19" t="s">
        <v>123</v>
      </c>
      <c r="J40" s="19" t="s">
        <v>352</v>
      </c>
      <c r="K40" s="19" t="s">
        <v>138</v>
      </c>
      <c r="L40" s="21" t="s">
        <v>139</v>
      </c>
      <c r="M40" s="23">
        <v>5</v>
      </c>
      <c r="N40" s="21" t="s">
        <v>149</v>
      </c>
      <c r="O40" s="24" t="s">
        <v>135</v>
      </c>
      <c r="P40" s="25" t="s">
        <v>129</v>
      </c>
      <c r="Q40" s="19" t="s">
        <v>165</v>
      </c>
      <c r="R40" s="19" t="s">
        <v>353</v>
      </c>
      <c r="S40" s="25" t="s">
        <v>127</v>
      </c>
    </row>
    <row r="41" spans="1:19" ht="25" customHeight="1">
      <c r="A41" s="19" t="s">
        <v>73</v>
      </c>
      <c r="B41" s="20" t="s">
        <v>77</v>
      </c>
      <c r="C41" s="19" t="s">
        <v>167</v>
      </c>
      <c r="D41" s="19" t="s">
        <v>354</v>
      </c>
      <c r="E41" s="20" t="s">
        <v>355</v>
      </c>
      <c r="F41" s="21" t="s">
        <v>136</v>
      </c>
      <c r="G41" s="22">
        <v>7.2838320012299995</v>
      </c>
      <c r="H41" s="22">
        <f t="shared" si="1"/>
        <v>2.4279440004099997</v>
      </c>
      <c r="I41" s="19" t="s">
        <v>123</v>
      </c>
      <c r="J41" s="19" t="s">
        <v>206</v>
      </c>
      <c r="K41" s="19" t="s">
        <v>124</v>
      </c>
      <c r="L41" s="21" t="s">
        <v>139</v>
      </c>
      <c r="M41" s="23">
        <v>2</v>
      </c>
      <c r="N41" s="21" t="s">
        <v>149</v>
      </c>
      <c r="O41" s="24" t="s">
        <v>134</v>
      </c>
      <c r="P41" s="25" t="s">
        <v>129</v>
      </c>
      <c r="Q41" s="19" t="s">
        <v>165</v>
      </c>
      <c r="R41" s="19" t="s">
        <v>356</v>
      </c>
      <c r="S41" s="25" t="s">
        <v>127</v>
      </c>
    </row>
    <row r="42" spans="1:19" ht="25" customHeight="1">
      <c r="A42" s="19" t="s">
        <v>73</v>
      </c>
      <c r="B42" s="20" t="s">
        <v>77</v>
      </c>
      <c r="C42" s="19" t="s">
        <v>167</v>
      </c>
      <c r="D42" s="19" t="s">
        <v>357</v>
      </c>
      <c r="E42" s="20" t="s">
        <v>358</v>
      </c>
      <c r="F42" s="21" t="s">
        <v>136</v>
      </c>
      <c r="G42" s="22">
        <v>7.10515600027</v>
      </c>
      <c r="H42" s="22">
        <f t="shared" si="1"/>
        <v>2.3683853334233333</v>
      </c>
      <c r="I42" s="19" t="s">
        <v>123</v>
      </c>
      <c r="J42" s="19" t="s">
        <v>186</v>
      </c>
      <c r="K42" s="19" t="s">
        <v>124</v>
      </c>
      <c r="L42" s="21" t="s">
        <v>139</v>
      </c>
      <c r="M42" s="23">
        <v>7</v>
      </c>
      <c r="N42" s="21" t="s">
        <v>149</v>
      </c>
      <c r="O42" s="24" t="s">
        <v>128</v>
      </c>
      <c r="P42" s="25" t="s">
        <v>129</v>
      </c>
      <c r="Q42" s="19" t="s">
        <v>165</v>
      </c>
      <c r="R42" s="19" t="s">
        <v>359</v>
      </c>
      <c r="S42" s="25" t="s">
        <v>127</v>
      </c>
    </row>
    <row r="43" spans="1:19" ht="25" customHeight="1">
      <c r="A43" s="19" t="s">
        <v>73</v>
      </c>
      <c r="B43" s="20" t="s">
        <v>77</v>
      </c>
      <c r="C43" s="19" t="s">
        <v>167</v>
      </c>
      <c r="D43" s="19" t="s">
        <v>360</v>
      </c>
      <c r="E43" s="20" t="s">
        <v>361</v>
      </c>
      <c r="F43" s="21" t="s">
        <v>136</v>
      </c>
      <c r="G43" s="22">
        <v>6.3040560011000002</v>
      </c>
      <c r="H43" s="22">
        <f t="shared" si="1"/>
        <v>2.1013520003666666</v>
      </c>
      <c r="I43" s="19" t="s">
        <v>123</v>
      </c>
      <c r="J43" s="19" t="s">
        <v>187</v>
      </c>
      <c r="K43" s="19" t="s">
        <v>124</v>
      </c>
      <c r="L43" s="21" t="s">
        <v>139</v>
      </c>
      <c r="M43" s="23">
        <v>3</v>
      </c>
      <c r="N43" s="21" t="s">
        <v>140</v>
      </c>
      <c r="O43" s="24" t="s">
        <v>131</v>
      </c>
      <c r="P43" s="25" t="s">
        <v>129</v>
      </c>
      <c r="Q43" s="19" t="s">
        <v>165</v>
      </c>
      <c r="R43" s="19" t="s">
        <v>362</v>
      </c>
      <c r="S43" s="25" t="s">
        <v>127</v>
      </c>
    </row>
    <row r="44" spans="1:19" ht="25" customHeight="1">
      <c r="A44" s="19" t="s">
        <v>73</v>
      </c>
      <c r="B44" s="20" t="s">
        <v>77</v>
      </c>
      <c r="C44" s="19" t="s">
        <v>167</v>
      </c>
      <c r="D44" s="19" t="s">
        <v>363</v>
      </c>
      <c r="E44" s="20" t="s">
        <v>364</v>
      </c>
      <c r="F44" s="21" t="s">
        <v>136</v>
      </c>
      <c r="G44" s="22">
        <v>6.2989080012000001</v>
      </c>
      <c r="H44" s="22">
        <f t="shared" si="1"/>
        <v>2.0996360003999999</v>
      </c>
      <c r="I44" s="19" t="s">
        <v>123</v>
      </c>
      <c r="J44" s="19" t="s">
        <v>195</v>
      </c>
      <c r="K44" s="19" t="s">
        <v>124</v>
      </c>
      <c r="L44" s="21" t="s">
        <v>139</v>
      </c>
      <c r="M44" s="23">
        <v>2</v>
      </c>
      <c r="N44" s="21" t="s">
        <v>149</v>
      </c>
      <c r="O44" s="24" t="s">
        <v>134</v>
      </c>
      <c r="P44" s="25" t="s">
        <v>129</v>
      </c>
      <c r="Q44" s="19" t="s">
        <v>165</v>
      </c>
      <c r="R44" s="19" t="s">
        <v>365</v>
      </c>
      <c r="S44" s="25" t="s">
        <v>127</v>
      </c>
    </row>
    <row r="45" spans="1:19" ht="25" customHeight="1">
      <c r="A45" s="19" t="s">
        <v>73</v>
      </c>
      <c r="B45" s="20" t="s">
        <v>77</v>
      </c>
      <c r="C45" s="19" t="s">
        <v>167</v>
      </c>
      <c r="D45" s="19" t="s">
        <v>366</v>
      </c>
      <c r="E45" s="20" t="s">
        <v>367</v>
      </c>
      <c r="F45" s="21" t="s">
        <v>136</v>
      </c>
      <c r="G45" s="22">
        <v>6.1010240003799998</v>
      </c>
      <c r="H45" s="22">
        <f t="shared" si="1"/>
        <v>2.0336746667933334</v>
      </c>
      <c r="I45" s="19" t="s">
        <v>123</v>
      </c>
      <c r="J45" s="19" t="s">
        <v>368</v>
      </c>
      <c r="K45" s="19" t="s">
        <v>124</v>
      </c>
      <c r="L45" s="21" t="s">
        <v>139</v>
      </c>
      <c r="M45" s="23">
        <v>7</v>
      </c>
      <c r="N45" s="21" t="s">
        <v>140</v>
      </c>
      <c r="O45" s="24" t="s">
        <v>128</v>
      </c>
      <c r="P45" s="25" t="s">
        <v>129</v>
      </c>
      <c r="Q45" s="19" t="s">
        <v>165</v>
      </c>
      <c r="R45" s="19" t="s">
        <v>369</v>
      </c>
      <c r="S45" s="25" t="s">
        <v>127</v>
      </c>
    </row>
    <row r="46" spans="1:19" ht="25" customHeight="1">
      <c r="A46" s="19" t="s">
        <v>73</v>
      </c>
      <c r="B46" s="20" t="s">
        <v>370</v>
      </c>
      <c r="C46" s="19" t="s">
        <v>371</v>
      </c>
      <c r="D46" s="19" t="s">
        <v>372</v>
      </c>
      <c r="E46" s="20" t="s">
        <v>373</v>
      </c>
      <c r="F46" s="21" t="s">
        <v>136</v>
      </c>
      <c r="G46" s="22">
        <v>16.070400000350002</v>
      </c>
      <c r="H46" s="22">
        <f t="shared" si="1"/>
        <v>5.3568000001166673</v>
      </c>
      <c r="I46" s="19" t="s">
        <v>123</v>
      </c>
      <c r="J46" s="19" t="s">
        <v>215</v>
      </c>
      <c r="K46" s="19" t="s">
        <v>124</v>
      </c>
      <c r="L46" s="21" t="s">
        <v>139</v>
      </c>
      <c r="M46" s="23">
        <v>4</v>
      </c>
      <c r="N46" s="21" t="s">
        <v>140</v>
      </c>
      <c r="O46" s="24" t="s">
        <v>126</v>
      </c>
      <c r="P46" s="25" t="s">
        <v>129</v>
      </c>
      <c r="Q46" s="19" t="s">
        <v>160</v>
      </c>
      <c r="R46" s="19" t="s">
        <v>374</v>
      </c>
      <c r="S46" s="25" t="s">
        <v>127</v>
      </c>
    </row>
    <row r="47" spans="1:19" ht="25" customHeight="1">
      <c r="A47" s="19" t="s">
        <v>73</v>
      </c>
      <c r="B47" s="20" t="s">
        <v>370</v>
      </c>
      <c r="C47" s="19" t="s">
        <v>371</v>
      </c>
      <c r="D47" s="19" t="s">
        <v>375</v>
      </c>
      <c r="E47" s="20" t="s">
        <v>376</v>
      </c>
      <c r="F47" s="21" t="s">
        <v>136</v>
      </c>
      <c r="G47" s="22">
        <v>6.6301680007800003</v>
      </c>
      <c r="H47" s="22">
        <f t="shared" si="1"/>
        <v>2.2100560002600003</v>
      </c>
      <c r="I47" s="19" t="s">
        <v>123</v>
      </c>
      <c r="J47" s="19" t="s">
        <v>212</v>
      </c>
      <c r="K47" s="19" t="s">
        <v>124</v>
      </c>
      <c r="L47" s="21" t="s">
        <v>139</v>
      </c>
      <c r="M47" s="23">
        <v>5</v>
      </c>
      <c r="N47" s="21" t="s">
        <v>149</v>
      </c>
      <c r="O47" s="24" t="s">
        <v>135</v>
      </c>
      <c r="P47" s="25" t="s">
        <v>129</v>
      </c>
      <c r="Q47" s="19" t="s">
        <v>160</v>
      </c>
      <c r="R47" s="19" t="s">
        <v>377</v>
      </c>
      <c r="S47" s="25" t="s">
        <v>127</v>
      </c>
    </row>
    <row r="48" spans="1:19" ht="25" customHeight="1">
      <c r="A48" s="19" t="s">
        <v>73</v>
      </c>
      <c r="B48" s="20" t="s">
        <v>370</v>
      </c>
      <c r="C48" s="19" t="s">
        <v>371</v>
      </c>
      <c r="D48" s="19" t="s">
        <v>378</v>
      </c>
      <c r="E48" s="20" t="s">
        <v>379</v>
      </c>
      <c r="F48" s="21" t="s">
        <v>136</v>
      </c>
      <c r="G48" s="22">
        <v>6.0911280016199996</v>
      </c>
      <c r="H48" s="22">
        <f t="shared" si="1"/>
        <v>2.03037600054</v>
      </c>
      <c r="I48" s="19" t="s">
        <v>123</v>
      </c>
      <c r="J48" s="19" t="s">
        <v>194</v>
      </c>
      <c r="K48" s="19" t="s">
        <v>138</v>
      </c>
      <c r="L48" s="21" t="s">
        <v>139</v>
      </c>
      <c r="M48" s="23">
        <v>2</v>
      </c>
      <c r="N48" s="21" t="s">
        <v>140</v>
      </c>
      <c r="O48" s="24" t="s">
        <v>134</v>
      </c>
      <c r="P48" s="25" t="s">
        <v>129</v>
      </c>
      <c r="Q48" s="19" t="s">
        <v>160</v>
      </c>
      <c r="R48" s="19" t="s">
        <v>380</v>
      </c>
      <c r="S48" s="25" t="s">
        <v>127</v>
      </c>
    </row>
    <row r="49" spans="1:19" ht="25" customHeight="1">
      <c r="A49" s="19" t="s">
        <v>73</v>
      </c>
      <c r="B49" s="20" t="s">
        <v>381</v>
      </c>
      <c r="C49" s="19" t="s">
        <v>382</v>
      </c>
      <c r="D49" s="19" t="s">
        <v>383</v>
      </c>
      <c r="E49" s="20" t="s">
        <v>384</v>
      </c>
      <c r="F49" s="21" t="s">
        <v>136</v>
      </c>
      <c r="G49" s="22">
        <v>16.332632003460002</v>
      </c>
      <c r="H49" s="22">
        <f t="shared" si="1"/>
        <v>5.4442106678200011</v>
      </c>
      <c r="I49" s="19" t="s">
        <v>123</v>
      </c>
      <c r="J49" s="19" t="s">
        <v>385</v>
      </c>
      <c r="K49" s="19" t="s">
        <v>124</v>
      </c>
      <c r="L49" s="21" t="s">
        <v>139</v>
      </c>
      <c r="M49" s="23">
        <v>2</v>
      </c>
      <c r="N49" s="21" t="s">
        <v>149</v>
      </c>
      <c r="O49" s="24" t="s">
        <v>134</v>
      </c>
      <c r="P49" s="25" t="s">
        <v>129</v>
      </c>
      <c r="Q49" s="19" t="s">
        <v>386</v>
      </c>
      <c r="R49" s="19" t="s">
        <v>387</v>
      </c>
      <c r="S49" s="25" t="s">
        <v>127</v>
      </c>
    </row>
    <row r="50" spans="1:19" ht="25" customHeight="1">
      <c r="A50" s="19" t="s">
        <v>73</v>
      </c>
      <c r="B50" s="20" t="s">
        <v>381</v>
      </c>
      <c r="C50" s="19" t="s">
        <v>382</v>
      </c>
      <c r="D50" s="19" t="s">
        <v>388</v>
      </c>
      <c r="E50" s="20" t="s">
        <v>389</v>
      </c>
      <c r="F50" s="21" t="s">
        <v>136</v>
      </c>
      <c r="G50" s="22">
        <v>9.1174400002000002</v>
      </c>
      <c r="H50" s="22">
        <f t="shared" si="1"/>
        <v>3.0391466667333336</v>
      </c>
      <c r="I50" s="19" t="s">
        <v>123</v>
      </c>
      <c r="J50" s="19" t="s">
        <v>390</v>
      </c>
      <c r="K50" s="19" t="s">
        <v>124</v>
      </c>
      <c r="L50" s="21" t="s">
        <v>139</v>
      </c>
      <c r="M50" s="23">
        <v>4</v>
      </c>
      <c r="N50" s="21" t="s">
        <v>140</v>
      </c>
      <c r="O50" s="24" t="s">
        <v>126</v>
      </c>
      <c r="P50" s="25" t="s">
        <v>129</v>
      </c>
      <c r="Q50" s="19" t="s">
        <v>386</v>
      </c>
      <c r="R50" s="19" t="s">
        <v>391</v>
      </c>
      <c r="S50" s="25" t="s">
        <v>127</v>
      </c>
    </row>
    <row r="51" spans="1:19" ht="25" customHeight="1">
      <c r="A51" s="19" t="s">
        <v>73</v>
      </c>
      <c r="B51" s="20" t="s">
        <v>381</v>
      </c>
      <c r="C51" s="19" t="s">
        <v>382</v>
      </c>
      <c r="D51" s="19" t="s">
        <v>392</v>
      </c>
      <c r="E51" s="20" t="s">
        <v>393</v>
      </c>
      <c r="F51" s="21" t="s">
        <v>136</v>
      </c>
      <c r="G51" s="22">
        <v>8.086600000719999</v>
      </c>
      <c r="H51" s="22">
        <f t="shared" si="1"/>
        <v>2.6955333335733331</v>
      </c>
      <c r="I51" s="19" t="s">
        <v>123</v>
      </c>
      <c r="J51" s="19" t="s">
        <v>195</v>
      </c>
      <c r="K51" s="19" t="s">
        <v>124</v>
      </c>
      <c r="L51" s="21" t="s">
        <v>139</v>
      </c>
      <c r="M51" s="23">
        <v>5</v>
      </c>
      <c r="N51" s="21" t="s">
        <v>149</v>
      </c>
      <c r="O51" s="24" t="s">
        <v>135</v>
      </c>
      <c r="P51" s="25" t="s">
        <v>129</v>
      </c>
      <c r="Q51" s="19" t="s">
        <v>386</v>
      </c>
      <c r="R51" s="19" t="s">
        <v>394</v>
      </c>
      <c r="S51" s="25" t="s">
        <v>127</v>
      </c>
    </row>
    <row r="52" spans="1:19" ht="25" customHeight="1">
      <c r="A52" s="19" t="s">
        <v>73</v>
      </c>
      <c r="B52" s="20" t="s">
        <v>381</v>
      </c>
      <c r="C52" s="19" t="s">
        <v>382</v>
      </c>
      <c r="D52" s="19" t="s">
        <v>395</v>
      </c>
      <c r="E52" s="20" t="s">
        <v>396</v>
      </c>
      <c r="F52" s="21" t="s">
        <v>136</v>
      </c>
      <c r="G52" s="22">
        <v>6.4366880014800003</v>
      </c>
      <c r="H52" s="22">
        <f t="shared" si="1"/>
        <v>2.1455626671600001</v>
      </c>
      <c r="I52" s="19" t="s">
        <v>123</v>
      </c>
      <c r="J52" s="19" t="s">
        <v>196</v>
      </c>
      <c r="K52" s="19" t="s">
        <v>124</v>
      </c>
      <c r="L52" s="21" t="s">
        <v>139</v>
      </c>
      <c r="M52" s="23">
        <v>3</v>
      </c>
      <c r="N52" s="21" t="s">
        <v>149</v>
      </c>
      <c r="O52" s="24" t="s">
        <v>131</v>
      </c>
      <c r="P52" s="25" t="s">
        <v>129</v>
      </c>
      <c r="Q52" s="19" t="s">
        <v>386</v>
      </c>
      <c r="R52" s="19" t="s">
        <v>397</v>
      </c>
      <c r="S52" s="25" t="s">
        <v>127</v>
      </c>
    </row>
    <row r="53" spans="1:19" ht="25" customHeight="1">
      <c r="A53" s="19" t="s">
        <v>73</v>
      </c>
      <c r="B53" s="20" t="s">
        <v>381</v>
      </c>
      <c r="C53" s="19" t="s">
        <v>382</v>
      </c>
      <c r="D53" s="19" t="s">
        <v>398</v>
      </c>
      <c r="E53" s="20" t="s">
        <v>399</v>
      </c>
      <c r="F53" s="21" t="s">
        <v>136</v>
      </c>
      <c r="G53" s="22">
        <v>6.2030000014399995</v>
      </c>
      <c r="H53" s="22">
        <f t="shared" si="1"/>
        <v>2.0676666671466664</v>
      </c>
      <c r="I53" s="19" t="s">
        <v>123</v>
      </c>
      <c r="J53" s="19" t="s">
        <v>200</v>
      </c>
      <c r="K53" s="19" t="s">
        <v>138</v>
      </c>
      <c r="L53" s="21" t="s">
        <v>139</v>
      </c>
      <c r="M53" s="23">
        <v>5</v>
      </c>
      <c r="N53" s="21" t="s">
        <v>149</v>
      </c>
      <c r="O53" s="24" t="s">
        <v>135</v>
      </c>
      <c r="P53" s="25" t="s">
        <v>129</v>
      </c>
      <c r="Q53" s="19" t="s">
        <v>386</v>
      </c>
      <c r="R53" s="19" t="s">
        <v>400</v>
      </c>
      <c r="S53" s="25" t="s">
        <v>127</v>
      </c>
    </row>
    <row r="54" spans="1:19" ht="25" customHeight="1">
      <c r="A54" s="19" t="s">
        <v>73</v>
      </c>
      <c r="B54" s="20" t="s">
        <v>381</v>
      </c>
      <c r="C54" s="19" t="s">
        <v>382</v>
      </c>
      <c r="D54" s="19" t="s">
        <v>401</v>
      </c>
      <c r="E54" s="20" t="s">
        <v>402</v>
      </c>
      <c r="F54" s="21" t="s">
        <v>136</v>
      </c>
      <c r="G54" s="22">
        <v>6.1311200005800011</v>
      </c>
      <c r="H54" s="22">
        <f t="shared" si="1"/>
        <v>2.0437066668600004</v>
      </c>
      <c r="I54" s="19" t="s">
        <v>123</v>
      </c>
      <c r="J54" s="19" t="s">
        <v>188</v>
      </c>
      <c r="K54" s="19" t="s">
        <v>124</v>
      </c>
      <c r="L54" s="21" t="s">
        <v>139</v>
      </c>
      <c r="M54" s="23">
        <v>3</v>
      </c>
      <c r="N54" s="21" t="s">
        <v>140</v>
      </c>
      <c r="O54" s="24" t="s">
        <v>131</v>
      </c>
      <c r="P54" s="25" t="s">
        <v>129</v>
      </c>
      <c r="Q54" s="19" t="s">
        <v>386</v>
      </c>
      <c r="R54" s="19" t="s">
        <v>403</v>
      </c>
      <c r="S54" s="25" t="s">
        <v>127</v>
      </c>
    </row>
    <row r="55" spans="1:19" ht="25" customHeight="1">
      <c r="A55" s="19" t="s">
        <v>73</v>
      </c>
      <c r="B55" s="20" t="s">
        <v>404</v>
      </c>
      <c r="C55" s="19" t="s">
        <v>405</v>
      </c>
      <c r="D55" s="19" t="s">
        <v>406</v>
      </c>
      <c r="E55" s="20" t="s">
        <v>407</v>
      </c>
      <c r="F55" s="21" t="s">
        <v>136</v>
      </c>
      <c r="G55" s="22">
        <v>9.7098640003499987</v>
      </c>
      <c r="H55" s="22">
        <f t="shared" si="1"/>
        <v>3.2366213334499996</v>
      </c>
      <c r="I55" s="19" t="s">
        <v>123</v>
      </c>
      <c r="J55" s="19" t="s">
        <v>207</v>
      </c>
      <c r="K55" s="19" t="s">
        <v>124</v>
      </c>
      <c r="L55" s="21" t="s">
        <v>139</v>
      </c>
      <c r="M55" s="23">
        <v>3</v>
      </c>
      <c r="N55" s="21" t="s">
        <v>140</v>
      </c>
      <c r="O55" s="24" t="s">
        <v>131</v>
      </c>
      <c r="P55" s="25" t="s">
        <v>129</v>
      </c>
      <c r="Q55" s="19" t="s">
        <v>226</v>
      </c>
      <c r="R55" s="19" t="s">
        <v>408</v>
      </c>
      <c r="S55" s="25" t="s">
        <v>127</v>
      </c>
    </row>
    <row r="56" spans="1:19" ht="25" customHeight="1">
      <c r="A56" s="19" t="s">
        <v>73</v>
      </c>
      <c r="B56" s="20" t="s">
        <v>404</v>
      </c>
      <c r="C56" s="19" t="s">
        <v>405</v>
      </c>
      <c r="D56" s="19" t="s">
        <v>409</v>
      </c>
      <c r="E56" s="20" t="s">
        <v>410</v>
      </c>
      <c r="F56" s="21" t="s">
        <v>136</v>
      </c>
      <c r="G56" s="22">
        <v>9.5847000016399999</v>
      </c>
      <c r="H56" s="22">
        <f t="shared" si="1"/>
        <v>3.1949000005466668</v>
      </c>
      <c r="I56" s="19" t="s">
        <v>123</v>
      </c>
      <c r="J56" s="19" t="s">
        <v>207</v>
      </c>
      <c r="K56" s="19" t="s">
        <v>124</v>
      </c>
      <c r="L56" s="21" t="s">
        <v>139</v>
      </c>
      <c r="M56" s="23">
        <v>2</v>
      </c>
      <c r="N56" s="21" t="s">
        <v>140</v>
      </c>
      <c r="O56" s="24" t="s">
        <v>134</v>
      </c>
      <c r="P56" s="25" t="s">
        <v>129</v>
      </c>
      <c r="Q56" s="19" t="s">
        <v>226</v>
      </c>
      <c r="R56" s="19" t="s">
        <v>411</v>
      </c>
      <c r="S56" s="25" t="s">
        <v>127</v>
      </c>
    </row>
    <row r="57" spans="1:19" ht="25" customHeight="1">
      <c r="A57" s="19" t="s">
        <v>73</v>
      </c>
      <c r="B57" s="20" t="s">
        <v>404</v>
      </c>
      <c r="C57" s="19" t="s">
        <v>405</v>
      </c>
      <c r="D57" s="19" t="s">
        <v>412</v>
      </c>
      <c r="E57" s="20" t="s">
        <v>413</v>
      </c>
      <c r="F57" s="21" t="s">
        <v>136</v>
      </c>
      <c r="G57" s="22">
        <v>9.3506600002799996</v>
      </c>
      <c r="H57" s="22">
        <f t="shared" si="1"/>
        <v>3.1168866667599997</v>
      </c>
      <c r="I57" s="19" t="s">
        <v>123</v>
      </c>
      <c r="J57" s="19" t="s">
        <v>189</v>
      </c>
      <c r="K57" s="19" t="s">
        <v>124</v>
      </c>
      <c r="L57" s="21" t="s">
        <v>139</v>
      </c>
      <c r="M57" s="23">
        <v>4</v>
      </c>
      <c r="N57" s="21" t="s">
        <v>149</v>
      </c>
      <c r="O57" s="24" t="s">
        <v>126</v>
      </c>
      <c r="P57" s="25" t="s">
        <v>129</v>
      </c>
      <c r="Q57" s="19" t="s">
        <v>226</v>
      </c>
      <c r="R57" s="19" t="s">
        <v>414</v>
      </c>
      <c r="S57" s="25" t="s">
        <v>127</v>
      </c>
    </row>
    <row r="58" spans="1:19" ht="25" customHeight="1">
      <c r="A58" s="19" t="s">
        <v>73</v>
      </c>
      <c r="B58" s="20" t="s">
        <v>404</v>
      </c>
      <c r="C58" s="19" t="s">
        <v>405</v>
      </c>
      <c r="D58" s="19" t="s">
        <v>415</v>
      </c>
      <c r="E58" s="20" t="s">
        <v>416</v>
      </c>
      <c r="F58" s="21" t="s">
        <v>136</v>
      </c>
      <c r="G58" s="22">
        <v>7.9063760005399999</v>
      </c>
      <c r="H58" s="22">
        <f t="shared" si="1"/>
        <v>2.6354586668466666</v>
      </c>
      <c r="I58" s="19" t="s">
        <v>123</v>
      </c>
      <c r="J58" s="19" t="s">
        <v>417</v>
      </c>
      <c r="K58" s="19" t="s">
        <v>124</v>
      </c>
      <c r="L58" s="21" t="s">
        <v>139</v>
      </c>
      <c r="M58" s="23">
        <v>4</v>
      </c>
      <c r="N58" s="21" t="s">
        <v>140</v>
      </c>
      <c r="O58" s="24" t="s">
        <v>126</v>
      </c>
      <c r="P58" s="25" t="s">
        <v>129</v>
      </c>
      <c r="Q58" s="19" t="s">
        <v>226</v>
      </c>
      <c r="R58" s="19" t="s">
        <v>418</v>
      </c>
      <c r="S58" s="25" t="s">
        <v>127</v>
      </c>
    </row>
    <row r="59" spans="1:19" ht="25" customHeight="1">
      <c r="A59" s="19" t="s">
        <v>73</v>
      </c>
      <c r="B59" s="20" t="s">
        <v>404</v>
      </c>
      <c r="C59" s="19" t="s">
        <v>405</v>
      </c>
      <c r="D59" s="19" t="s">
        <v>419</v>
      </c>
      <c r="E59" s="20" t="s">
        <v>420</v>
      </c>
      <c r="F59" s="21" t="s">
        <v>136</v>
      </c>
      <c r="G59" s="22">
        <v>6.1745000003600001</v>
      </c>
      <c r="H59" s="22">
        <f t="shared" si="1"/>
        <v>2.0581666667866667</v>
      </c>
      <c r="I59" s="19" t="s">
        <v>123</v>
      </c>
      <c r="J59" s="19" t="s">
        <v>185</v>
      </c>
      <c r="K59" s="19" t="s">
        <v>124</v>
      </c>
      <c r="L59" s="21" t="s">
        <v>139</v>
      </c>
      <c r="M59" s="23">
        <v>6</v>
      </c>
      <c r="N59" s="21" t="s">
        <v>140</v>
      </c>
      <c r="O59" s="24" t="s">
        <v>132</v>
      </c>
      <c r="P59" s="25" t="s">
        <v>129</v>
      </c>
      <c r="Q59" s="19" t="s">
        <v>226</v>
      </c>
      <c r="R59" s="19" t="s">
        <v>421</v>
      </c>
      <c r="S59" s="25" t="s">
        <v>127</v>
      </c>
    </row>
    <row r="60" spans="1:19" ht="25" customHeight="1">
      <c r="A60" s="19" t="s">
        <v>73</v>
      </c>
      <c r="B60" s="20" t="s">
        <v>422</v>
      </c>
      <c r="C60" s="19" t="s">
        <v>423</v>
      </c>
      <c r="D60" s="19" t="s">
        <v>424</v>
      </c>
      <c r="E60" s="20" t="s">
        <v>425</v>
      </c>
      <c r="F60" s="21" t="s">
        <v>136</v>
      </c>
      <c r="G60" s="22">
        <v>14.517940000660003</v>
      </c>
      <c r="H60" s="22">
        <f t="shared" si="1"/>
        <v>4.839313333553334</v>
      </c>
      <c r="I60" s="19" t="s">
        <v>123</v>
      </c>
      <c r="J60" s="19" t="s">
        <v>190</v>
      </c>
      <c r="K60" s="19" t="s">
        <v>124</v>
      </c>
      <c r="L60" s="21" t="s">
        <v>139</v>
      </c>
      <c r="M60" s="23">
        <v>5</v>
      </c>
      <c r="N60" s="21" t="s">
        <v>149</v>
      </c>
      <c r="O60" s="24" t="s">
        <v>135</v>
      </c>
      <c r="P60" s="25" t="s">
        <v>129</v>
      </c>
      <c r="Q60" s="19" t="s">
        <v>165</v>
      </c>
      <c r="R60" s="19" t="s">
        <v>426</v>
      </c>
      <c r="S60" s="25" t="s">
        <v>127</v>
      </c>
    </row>
    <row r="61" spans="1:19" ht="25" customHeight="1">
      <c r="A61" s="19" t="s">
        <v>73</v>
      </c>
      <c r="B61" s="20" t="s">
        <v>422</v>
      </c>
      <c r="C61" s="19" t="s">
        <v>423</v>
      </c>
      <c r="D61" s="19" t="s">
        <v>427</v>
      </c>
      <c r="E61" s="20" t="s">
        <v>428</v>
      </c>
      <c r="F61" s="21" t="s">
        <v>136</v>
      </c>
      <c r="G61" s="22">
        <v>9.8999600028699977</v>
      </c>
      <c r="H61" s="22">
        <f t="shared" si="1"/>
        <v>3.2999866676233327</v>
      </c>
      <c r="I61" s="19" t="s">
        <v>123</v>
      </c>
      <c r="J61" s="19" t="s">
        <v>206</v>
      </c>
      <c r="K61" s="19" t="s">
        <v>124</v>
      </c>
      <c r="L61" s="21" t="s">
        <v>139</v>
      </c>
      <c r="M61" s="23">
        <v>3</v>
      </c>
      <c r="N61" s="21" t="s">
        <v>149</v>
      </c>
      <c r="O61" s="24" t="s">
        <v>131</v>
      </c>
      <c r="P61" s="25" t="s">
        <v>129</v>
      </c>
      <c r="Q61" s="19" t="s">
        <v>165</v>
      </c>
      <c r="R61" s="19" t="s">
        <v>429</v>
      </c>
      <c r="S61" s="25" t="s">
        <v>127</v>
      </c>
    </row>
    <row r="62" spans="1:19" ht="25" customHeight="1">
      <c r="A62" s="19" t="s">
        <v>73</v>
      </c>
      <c r="B62" s="20" t="s">
        <v>422</v>
      </c>
      <c r="C62" s="19" t="s">
        <v>423</v>
      </c>
      <c r="D62" s="19" t="s">
        <v>430</v>
      </c>
      <c r="E62" s="20" t="s">
        <v>431</v>
      </c>
      <c r="F62" s="21" t="s">
        <v>136</v>
      </c>
      <c r="G62" s="22">
        <v>6.8898000014600003</v>
      </c>
      <c r="H62" s="22">
        <f t="shared" si="1"/>
        <v>2.2966000004866669</v>
      </c>
      <c r="I62" s="19" t="s">
        <v>123</v>
      </c>
      <c r="J62" s="19" t="s">
        <v>201</v>
      </c>
      <c r="K62" s="19" t="s">
        <v>124</v>
      </c>
      <c r="L62" s="21" t="s">
        <v>139</v>
      </c>
      <c r="M62" s="23">
        <v>7</v>
      </c>
      <c r="N62" s="21" t="s">
        <v>149</v>
      </c>
      <c r="O62" s="24" t="s">
        <v>128</v>
      </c>
      <c r="P62" s="25" t="s">
        <v>129</v>
      </c>
      <c r="Q62" s="19" t="s">
        <v>165</v>
      </c>
      <c r="R62" s="19" t="s">
        <v>432</v>
      </c>
      <c r="S62" s="25" t="s">
        <v>127</v>
      </c>
    </row>
    <row r="63" spans="1:19" ht="25" customHeight="1">
      <c r="A63" s="19" t="s">
        <v>73</v>
      </c>
      <c r="B63" s="20" t="s">
        <v>422</v>
      </c>
      <c r="C63" s="19" t="s">
        <v>423</v>
      </c>
      <c r="D63" s="19" t="s">
        <v>433</v>
      </c>
      <c r="E63" s="20" t="s">
        <v>434</v>
      </c>
      <c r="F63" s="21" t="s">
        <v>136</v>
      </c>
      <c r="G63" s="22">
        <v>6.8515120017399989</v>
      </c>
      <c r="H63" s="22">
        <f t="shared" si="1"/>
        <v>2.2838373339133331</v>
      </c>
      <c r="I63" s="19" t="s">
        <v>123</v>
      </c>
      <c r="J63" s="19" t="s">
        <v>190</v>
      </c>
      <c r="K63" s="19" t="s">
        <v>124</v>
      </c>
      <c r="L63" s="21" t="s">
        <v>139</v>
      </c>
      <c r="M63" s="23">
        <v>5</v>
      </c>
      <c r="N63" s="21" t="s">
        <v>140</v>
      </c>
      <c r="O63" s="24" t="s">
        <v>135</v>
      </c>
      <c r="P63" s="25" t="s">
        <v>129</v>
      </c>
      <c r="Q63" s="19" t="s">
        <v>165</v>
      </c>
      <c r="R63" s="19" t="s">
        <v>435</v>
      </c>
      <c r="S63" s="25" t="s">
        <v>127</v>
      </c>
    </row>
    <row r="64" spans="1:19" ht="25" customHeight="1">
      <c r="A64" s="19" t="s">
        <v>73</v>
      </c>
      <c r="B64" s="20" t="s">
        <v>422</v>
      </c>
      <c r="C64" s="19" t="s">
        <v>423</v>
      </c>
      <c r="D64" s="19" t="s">
        <v>436</v>
      </c>
      <c r="E64" s="20" t="s">
        <v>208</v>
      </c>
      <c r="F64" s="21" t="s">
        <v>136</v>
      </c>
      <c r="G64" s="22">
        <v>6.6462960008599996</v>
      </c>
      <c r="H64" s="22">
        <f t="shared" si="1"/>
        <v>2.2154320002866665</v>
      </c>
      <c r="I64" s="19" t="s">
        <v>123</v>
      </c>
      <c r="J64" s="19" t="s">
        <v>183</v>
      </c>
      <c r="K64" s="19" t="s">
        <v>124</v>
      </c>
      <c r="L64" s="21" t="s">
        <v>139</v>
      </c>
      <c r="M64" s="23">
        <v>3</v>
      </c>
      <c r="N64" s="21" t="s">
        <v>149</v>
      </c>
      <c r="O64" s="24" t="s">
        <v>131</v>
      </c>
      <c r="P64" s="25" t="s">
        <v>129</v>
      </c>
      <c r="Q64" s="19" t="s">
        <v>165</v>
      </c>
      <c r="R64" s="19" t="s">
        <v>437</v>
      </c>
      <c r="S64" s="25" t="s">
        <v>127</v>
      </c>
    </row>
    <row r="65" spans="1:19" ht="25" customHeight="1">
      <c r="A65" s="19" t="s">
        <v>73</v>
      </c>
      <c r="B65" s="20" t="s">
        <v>422</v>
      </c>
      <c r="C65" s="19" t="s">
        <v>423</v>
      </c>
      <c r="D65" s="19" t="s">
        <v>438</v>
      </c>
      <c r="E65" s="20" t="s">
        <v>439</v>
      </c>
      <c r="F65" s="21" t="s">
        <v>136</v>
      </c>
      <c r="G65" s="22">
        <v>6.4378360011600009</v>
      </c>
      <c r="H65" s="22">
        <f t="shared" si="1"/>
        <v>2.1459453337200003</v>
      </c>
      <c r="I65" s="19" t="s">
        <v>123</v>
      </c>
      <c r="J65" s="19" t="s">
        <v>186</v>
      </c>
      <c r="K65" s="19" t="s">
        <v>124</v>
      </c>
      <c r="L65" s="21" t="s">
        <v>139</v>
      </c>
      <c r="M65" s="23">
        <v>5</v>
      </c>
      <c r="N65" s="21" t="s">
        <v>149</v>
      </c>
      <c r="O65" s="24" t="s">
        <v>135</v>
      </c>
      <c r="P65" s="25" t="s">
        <v>129</v>
      </c>
      <c r="Q65" s="19" t="s">
        <v>165</v>
      </c>
      <c r="R65" s="19" t="s">
        <v>440</v>
      </c>
      <c r="S65" s="25" t="s">
        <v>127</v>
      </c>
    </row>
    <row r="66" spans="1:19" ht="25" customHeight="1">
      <c r="A66" s="19" t="s">
        <v>73</v>
      </c>
      <c r="B66" s="20" t="s">
        <v>422</v>
      </c>
      <c r="C66" s="19" t="s">
        <v>423</v>
      </c>
      <c r="D66" s="19" t="s">
        <v>441</v>
      </c>
      <c r="E66" s="20" t="s">
        <v>442</v>
      </c>
      <c r="F66" s="21" t="s">
        <v>136</v>
      </c>
      <c r="G66" s="22">
        <v>6.1082000019999994</v>
      </c>
      <c r="H66" s="22">
        <f t="shared" si="1"/>
        <v>2.036066667333333</v>
      </c>
      <c r="I66" s="19" t="s">
        <v>123</v>
      </c>
      <c r="J66" s="19" t="s">
        <v>443</v>
      </c>
      <c r="K66" s="19" t="s">
        <v>138</v>
      </c>
      <c r="L66" s="21" t="s">
        <v>139</v>
      </c>
      <c r="M66" s="23">
        <v>7</v>
      </c>
      <c r="N66" s="21" t="s">
        <v>140</v>
      </c>
      <c r="O66" s="24" t="s">
        <v>128</v>
      </c>
      <c r="P66" s="25" t="s">
        <v>129</v>
      </c>
      <c r="Q66" s="19" t="s">
        <v>165</v>
      </c>
      <c r="R66" s="19" t="s">
        <v>444</v>
      </c>
      <c r="S66" s="25" t="s">
        <v>127</v>
      </c>
    </row>
    <row r="67" spans="1:19" ht="25" customHeight="1">
      <c r="A67" s="19" t="s">
        <v>73</v>
      </c>
      <c r="B67" s="20" t="s">
        <v>78</v>
      </c>
      <c r="C67" s="19" t="s">
        <v>171</v>
      </c>
      <c r="D67" s="19" t="s">
        <v>445</v>
      </c>
      <c r="E67" s="20" t="s">
        <v>446</v>
      </c>
      <c r="F67" s="21" t="s">
        <v>136</v>
      </c>
      <c r="G67" s="22">
        <v>11.359312001969998</v>
      </c>
      <c r="H67" s="22">
        <f t="shared" si="1"/>
        <v>3.7864373339899995</v>
      </c>
      <c r="I67" s="19" t="s">
        <v>123</v>
      </c>
      <c r="J67" s="19" t="s">
        <v>204</v>
      </c>
      <c r="K67" s="19" t="s">
        <v>124</v>
      </c>
      <c r="L67" s="21" t="s">
        <v>139</v>
      </c>
      <c r="M67" s="23">
        <v>5</v>
      </c>
      <c r="N67" s="21" t="s">
        <v>149</v>
      </c>
      <c r="O67" s="24" t="s">
        <v>135</v>
      </c>
      <c r="P67" s="25" t="s">
        <v>129</v>
      </c>
      <c r="Q67" s="19" t="s">
        <v>154</v>
      </c>
      <c r="R67" s="19" t="s">
        <v>447</v>
      </c>
      <c r="S67" s="25" t="s">
        <v>127</v>
      </c>
    </row>
    <row r="68" spans="1:19" ht="25" customHeight="1">
      <c r="A68" s="19" t="s">
        <v>73</v>
      </c>
      <c r="B68" s="20" t="s">
        <v>78</v>
      </c>
      <c r="C68" s="19" t="s">
        <v>171</v>
      </c>
      <c r="D68" s="19" t="s">
        <v>448</v>
      </c>
      <c r="E68" s="20" t="s">
        <v>449</v>
      </c>
      <c r="F68" s="21" t="s">
        <v>136</v>
      </c>
      <c r="G68" s="22">
        <v>8.2398000027599991</v>
      </c>
      <c r="H68" s="22">
        <f t="shared" si="1"/>
        <v>2.7466000009199996</v>
      </c>
      <c r="I68" s="19" t="s">
        <v>123</v>
      </c>
      <c r="J68" s="19" t="s">
        <v>450</v>
      </c>
      <c r="K68" s="19" t="s">
        <v>124</v>
      </c>
      <c r="L68" s="21" t="s">
        <v>139</v>
      </c>
      <c r="M68" s="23">
        <v>4</v>
      </c>
      <c r="N68" s="21" t="s">
        <v>149</v>
      </c>
      <c r="O68" s="24" t="s">
        <v>126</v>
      </c>
      <c r="P68" s="25" t="s">
        <v>129</v>
      </c>
      <c r="Q68" s="19" t="s">
        <v>154</v>
      </c>
      <c r="R68" s="19" t="s">
        <v>451</v>
      </c>
      <c r="S68" s="25" t="s">
        <v>127</v>
      </c>
    </row>
    <row r="69" spans="1:19" ht="25" customHeight="1">
      <c r="A69" s="19" t="s">
        <v>73</v>
      </c>
      <c r="B69" s="20" t="s">
        <v>78</v>
      </c>
      <c r="C69" s="19" t="s">
        <v>171</v>
      </c>
      <c r="D69" s="19" t="s">
        <v>452</v>
      </c>
      <c r="E69" s="20" t="s">
        <v>453</v>
      </c>
      <c r="F69" s="21" t="s">
        <v>136</v>
      </c>
      <c r="G69" s="22">
        <v>7.984400001</v>
      </c>
      <c r="H69" s="22">
        <f t="shared" si="1"/>
        <v>2.661466667</v>
      </c>
      <c r="I69" s="19" t="s">
        <v>123</v>
      </c>
      <c r="J69" s="19" t="s">
        <v>198</v>
      </c>
      <c r="K69" s="19" t="s">
        <v>124</v>
      </c>
      <c r="L69" s="21" t="s">
        <v>139</v>
      </c>
      <c r="M69" s="23">
        <v>6</v>
      </c>
      <c r="N69" s="21" t="s">
        <v>140</v>
      </c>
      <c r="O69" s="24" t="s">
        <v>132</v>
      </c>
      <c r="P69" s="25" t="s">
        <v>129</v>
      </c>
      <c r="Q69" s="19" t="s">
        <v>154</v>
      </c>
      <c r="R69" s="19" t="s">
        <v>454</v>
      </c>
      <c r="S69" s="25" t="s">
        <v>127</v>
      </c>
    </row>
    <row r="70" spans="1:19" ht="25" customHeight="1">
      <c r="A70" s="19" t="s">
        <v>73</v>
      </c>
      <c r="B70" s="20" t="s">
        <v>78</v>
      </c>
      <c r="C70" s="19" t="s">
        <v>171</v>
      </c>
      <c r="D70" s="19" t="s">
        <v>455</v>
      </c>
      <c r="E70" s="20" t="s">
        <v>456</v>
      </c>
      <c r="F70" s="21" t="s">
        <v>136</v>
      </c>
      <c r="G70" s="22">
        <v>6.4682000010599996</v>
      </c>
      <c r="H70" s="22">
        <f t="shared" si="1"/>
        <v>2.1560666670199997</v>
      </c>
      <c r="I70" s="19" t="s">
        <v>123</v>
      </c>
      <c r="J70" s="19" t="s">
        <v>457</v>
      </c>
      <c r="K70" s="19" t="s">
        <v>124</v>
      </c>
      <c r="L70" s="21" t="s">
        <v>139</v>
      </c>
      <c r="M70" s="23">
        <v>3</v>
      </c>
      <c r="N70" s="21" t="s">
        <v>140</v>
      </c>
      <c r="O70" s="24" t="s">
        <v>131</v>
      </c>
      <c r="P70" s="25" t="s">
        <v>129</v>
      </c>
      <c r="Q70" s="19" t="s">
        <v>154</v>
      </c>
      <c r="R70" s="19" t="s">
        <v>458</v>
      </c>
      <c r="S70" s="25" t="s">
        <v>127</v>
      </c>
    </row>
    <row r="71" spans="1:19" ht="25" customHeight="1">
      <c r="A71" s="19" t="s">
        <v>73</v>
      </c>
      <c r="B71" s="20" t="s">
        <v>78</v>
      </c>
      <c r="C71" s="19" t="s">
        <v>171</v>
      </c>
      <c r="D71" s="19" t="s">
        <v>459</v>
      </c>
      <c r="E71" s="20" t="s">
        <v>460</v>
      </c>
      <c r="F71" s="21" t="s">
        <v>136</v>
      </c>
      <c r="G71" s="22">
        <v>6.2334000009000006</v>
      </c>
      <c r="H71" s="22">
        <f t="shared" si="1"/>
        <v>2.0778000003000003</v>
      </c>
      <c r="I71" s="19" t="s">
        <v>123</v>
      </c>
      <c r="J71" s="19" t="s">
        <v>148</v>
      </c>
      <c r="K71" s="19" t="s">
        <v>124</v>
      </c>
      <c r="L71" s="21" t="s">
        <v>139</v>
      </c>
      <c r="M71" s="23">
        <v>7</v>
      </c>
      <c r="N71" s="21" t="s">
        <v>140</v>
      </c>
      <c r="O71" s="24" t="s">
        <v>128</v>
      </c>
      <c r="P71" s="25" t="s">
        <v>129</v>
      </c>
      <c r="Q71" s="19" t="s">
        <v>154</v>
      </c>
      <c r="R71" s="19" t="s">
        <v>461</v>
      </c>
      <c r="S71" s="25" t="s">
        <v>127</v>
      </c>
    </row>
    <row r="72" spans="1:19" ht="25" customHeight="1">
      <c r="A72" s="19" t="s">
        <v>73</v>
      </c>
      <c r="B72" s="20" t="s">
        <v>78</v>
      </c>
      <c r="C72" s="19" t="s">
        <v>171</v>
      </c>
      <c r="D72" s="19" t="s">
        <v>462</v>
      </c>
      <c r="E72" s="20" t="s">
        <v>205</v>
      </c>
      <c r="F72" s="21" t="s">
        <v>136</v>
      </c>
      <c r="G72" s="22">
        <v>6.2086400013799992</v>
      </c>
      <c r="H72" s="22">
        <f t="shared" si="1"/>
        <v>2.0695466671266662</v>
      </c>
      <c r="I72" s="19" t="s">
        <v>123</v>
      </c>
      <c r="J72" s="19" t="s">
        <v>450</v>
      </c>
      <c r="K72" s="19" t="s">
        <v>124</v>
      </c>
      <c r="L72" s="21" t="s">
        <v>139</v>
      </c>
      <c r="M72" s="23">
        <v>7</v>
      </c>
      <c r="N72" s="21" t="s">
        <v>140</v>
      </c>
      <c r="O72" s="24" t="s">
        <v>128</v>
      </c>
      <c r="P72" s="25" t="s">
        <v>129</v>
      </c>
      <c r="Q72" s="19" t="s">
        <v>154</v>
      </c>
      <c r="R72" s="19" t="s">
        <v>463</v>
      </c>
      <c r="S72" s="25" t="s">
        <v>127</v>
      </c>
    </row>
    <row r="73" spans="1:19" ht="25" customHeight="1">
      <c r="A73" s="19" t="s">
        <v>73</v>
      </c>
      <c r="B73" s="20" t="s">
        <v>464</v>
      </c>
      <c r="C73" s="19" t="s">
        <v>465</v>
      </c>
      <c r="D73" s="19" t="s">
        <v>466</v>
      </c>
      <c r="E73" s="20" t="s">
        <v>467</v>
      </c>
      <c r="F73" s="21" t="s">
        <v>136</v>
      </c>
      <c r="G73" s="22">
        <v>8.6229000010800032</v>
      </c>
      <c r="H73" s="22">
        <f t="shared" si="1"/>
        <v>2.8743000003600012</v>
      </c>
      <c r="I73" s="19" t="s">
        <v>123</v>
      </c>
      <c r="J73" s="19" t="s">
        <v>468</v>
      </c>
      <c r="K73" s="19" t="s">
        <v>124</v>
      </c>
      <c r="L73" s="21" t="s">
        <v>139</v>
      </c>
      <c r="M73" s="23">
        <v>3</v>
      </c>
      <c r="N73" s="21" t="s">
        <v>140</v>
      </c>
      <c r="O73" s="24" t="s">
        <v>131</v>
      </c>
      <c r="P73" s="25" t="s">
        <v>129</v>
      </c>
      <c r="Q73" s="19" t="s">
        <v>226</v>
      </c>
      <c r="R73" s="19" t="s">
        <v>469</v>
      </c>
      <c r="S73" s="25" t="s">
        <v>127</v>
      </c>
    </row>
    <row r="74" spans="1:19" ht="25" customHeight="1">
      <c r="A74" s="19" t="s">
        <v>73</v>
      </c>
      <c r="B74" s="20" t="s">
        <v>464</v>
      </c>
      <c r="C74" s="19" t="s">
        <v>465</v>
      </c>
      <c r="D74" s="19" t="s">
        <v>470</v>
      </c>
      <c r="E74" s="20" t="s">
        <v>209</v>
      </c>
      <c r="F74" s="21" t="s">
        <v>136</v>
      </c>
      <c r="G74" s="22">
        <v>7.3567000006400001</v>
      </c>
      <c r="H74" s="22">
        <f t="shared" si="1"/>
        <v>2.4522333335466668</v>
      </c>
      <c r="I74" s="19" t="s">
        <v>123</v>
      </c>
      <c r="J74" s="19" t="s">
        <v>194</v>
      </c>
      <c r="K74" s="19" t="s">
        <v>138</v>
      </c>
      <c r="L74" s="21" t="s">
        <v>139</v>
      </c>
      <c r="M74" s="23">
        <v>3</v>
      </c>
      <c r="N74" s="21" t="s">
        <v>140</v>
      </c>
      <c r="O74" s="24" t="s">
        <v>131</v>
      </c>
      <c r="P74" s="25" t="s">
        <v>129</v>
      </c>
      <c r="Q74" s="19" t="s">
        <v>226</v>
      </c>
      <c r="R74" s="19" t="s">
        <v>471</v>
      </c>
      <c r="S74" s="25" t="s">
        <v>127</v>
      </c>
    </row>
    <row r="75" spans="1:19" ht="25" customHeight="1">
      <c r="A75" s="19" t="s">
        <v>73</v>
      </c>
      <c r="B75" s="20" t="s">
        <v>464</v>
      </c>
      <c r="C75" s="19" t="s">
        <v>465</v>
      </c>
      <c r="D75" s="19" t="s">
        <v>472</v>
      </c>
      <c r="E75" s="20" t="s">
        <v>473</v>
      </c>
      <c r="F75" s="21" t="s">
        <v>136</v>
      </c>
      <c r="G75" s="22">
        <v>6.34780400052</v>
      </c>
      <c r="H75" s="22">
        <f t="shared" si="1"/>
        <v>2.1159346668399999</v>
      </c>
      <c r="I75" s="19" t="s">
        <v>123</v>
      </c>
      <c r="J75" s="19" t="s">
        <v>206</v>
      </c>
      <c r="K75" s="19" t="s">
        <v>124</v>
      </c>
      <c r="L75" s="21" t="s">
        <v>139</v>
      </c>
      <c r="M75" s="23">
        <v>5</v>
      </c>
      <c r="N75" s="21" t="s">
        <v>140</v>
      </c>
      <c r="O75" s="24" t="s">
        <v>135</v>
      </c>
      <c r="P75" s="25" t="s">
        <v>129</v>
      </c>
      <c r="Q75" s="19" t="s">
        <v>226</v>
      </c>
      <c r="R75" s="19" t="s">
        <v>474</v>
      </c>
      <c r="S75" s="25" t="s">
        <v>127</v>
      </c>
    </row>
    <row r="76" spans="1:19" ht="25" customHeight="1">
      <c r="A76" s="19" t="s">
        <v>73</v>
      </c>
      <c r="B76" s="20" t="s">
        <v>475</v>
      </c>
      <c r="C76" s="19" t="s">
        <v>476</v>
      </c>
      <c r="D76" s="19" t="s">
        <v>477</v>
      </c>
      <c r="E76" s="20" t="s">
        <v>478</v>
      </c>
      <c r="F76" s="21" t="s">
        <v>136</v>
      </c>
      <c r="G76" s="22">
        <v>7.7144000014200005</v>
      </c>
      <c r="H76" s="22">
        <f t="shared" si="1"/>
        <v>2.5714666671400002</v>
      </c>
      <c r="I76" s="19" t="s">
        <v>123</v>
      </c>
      <c r="J76" s="19" t="s">
        <v>479</v>
      </c>
      <c r="K76" s="19" t="s">
        <v>124</v>
      </c>
      <c r="L76" s="21" t="s">
        <v>139</v>
      </c>
      <c r="M76" s="23">
        <v>5</v>
      </c>
      <c r="N76" s="21" t="s">
        <v>149</v>
      </c>
      <c r="O76" s="24" t="s">
        <v>135</v>
      </c>
      <c r="P76" s="25" t="s">
        <v>129</v>
      </c>
      <c r="Q76" s="19" t="s">
        <v>160</v>
      </c>
      <c r="R76" s="19" t="s">
        <v>480</v>
      </c>
      <c r="S76" s="25" t="s">
        <v>127</v>
      </c>
    </row>
    <row r="77" spans="1:19" ht="25" customHeight="1">
      <c r="A77" s="19" t="s">
        <v>73</v>
      </c>
      <c r="B77" s="20" t="s">
        <v>475</v>
      </c>
      <c r="C77" s="19" t="s">
        <v>476</v>
      </c>
      <c r="D77" s="19" t="s">
        <v>481</v>
      </c>
      <c r="E77" s="20" t="s">
        <v>482</v>
      </c>
      <c r="F77" s="21" t="s">
        <v>136</v>
      </c>
      <c r="G77" s="22">
        <v>7.6292480004399996</v>
      </c>
      <c r="H77" s="22">
        <f t="shared" si="1"/>
        <v>2.5430826668133331</v>
      </c>
      <c r="I77" s="19" t="s">
        <v>123</v>
      </c>
      <c r="J77" s="19" t="s">
        <v>483</v>
      </c>
      <c r="K77" s="19" t="s">
        <v>124</v>
      </c>
      <c r="L77" s="21" t="s">
        <v>139</v>
      </c>
      <c r="M77" s="23">
        <v>6</v>
      </c>
      <c r="N77" s="21" t="s">
        <v>149</v>
      </c>
      <c r="O77" s="24" t="s">
        <v>132</v>
      </c>
      <c r="P77" s="25" t="s">
        <v>129</v>
      </c>
      <c r="Q77" s="19" t="s">
        <v>160</v>
      </c>
      <c r="R77" s="19" t="s">
        <v>484</v>
      </c>
      <c r="S77" s="25" t="s">
        <v>127</v>
      </c>
    </row>
    <row r="78" spans="1:19" ht="25" customHeight="1">
      <c r="A78" s="19" t="s">
        <v>73</v>
      </c>
      <c r="B78" s="20" t="s">
        <v>475</v>
      </c>
      <c r="C78" s="19" t="s">
        <v>476</v>
      </c>
      <c r="D78" s="19" t="s">
        <v>485</v>
      </c>
      <c r="E78" s="20" t="s">
        <v>486</v>
      </c>
      <c r="F78" s="21" t="s">
        <v>136</v>
      </c>
      <c r="G78" s="22">
        <v>6.9788240016600005</v>
      </c>
      <c r="H78" s="22">
        <f t="shared" si="1"/>
        <v>2.3262746672200003</v>
      </c>
      <c r="I78" s="19" t="s">
        <v>123</v>
      </c>
      <c r="J78" s="19" t="s">
        <v>487</v>
      </c>
      <c r="K78" s="19" t="s">
        <v>124</v>
      </c>
      <c r="L78" s="21" t="s">
        <v>139</v>
      </c>
      <c r="M78" s="23">
        <v>7</v>
      </c>
      <c r="N78" s="21" t="s">
        <v>149</v>
      </c>
      <c r="O78" s="24" t="s">
        <v>128</v>
      </c>
      <c r="P78" s="25" t="s">
        <v>129</v>
      </c>
      <c r="Q78" s="19" t="s">
        <v>160</v>
      </c>
      <c r="R78" s="19" t="s">
        <v>488</v>
      </c>
      <c r="S78" s="25" t="s">
        <v>127</v>
      </c>
    </row>
    <row r="79" spans="1:19" ht="25" customHeight="1">
      <c r="A79" s="19" t="s">
        <v>73</v>
      </c>
      <c r="B79" s="20" t="s">
        <v>475</v>
      </c>
      <c r="C79" s="19" t="s">
        <v>476</v>
      </c>
      <c r="D79" s="19" t="s">
        <v>489</v>
      </c>
      <c r="E79" s="20" t="s">
        <v>490</v>
      </c>
      <c r="F79" s="21" t="s">
        <v>136</v>
      </c>
      <c r="G79" s="22">
        <v>6.1776</v>
      </c>
      <c r="H79" s="22">
        <f t="shared" si="1"/>
        <v>2.0592000000000001</v>
      </c>
      <c r="I79" s="19" t="s">
        <v>123</v>
      </c>
      <c r="J79" s="19" t="s">
        <v>284</v>
      </c>
      <c r="K79" s="19" t="s">
        <v>124</v>
      </c>
      <c r="L79" s="21" t="s">
        <v>139</v>
      </c>
      <c r="M79" s="23">
        <v>3</v>
      </c>
      <c r="N79" s="21" t="s">
        <v>140</v>
      </c>
      <c r="O79" s="24" t="s">
        <v>131</v>
      </c>
      <c r="P79" s="25" t="s">
        <v>129</v>
      </c>
      <c r="Q79" s="19" t="s">
        <v>160</v>
      </c>
      <c r="R79" s="19" t="s">
        <v>491</v>
      </c>
      <c r="S79" s="25" t="s">
        <v>127</v>
      </c>
    </row>
    <row r="80" spans="1:19" ht="25" customHeight="1">
      <c r="A80" s="19" t="s">
        <v>73</v>
      </c>
      <c r="B80" s="20" t="s">
        <v>492</v>
      </c>
      <c r="C80" s="19" t="s">
        <v>493</v>
      </c>
      <c r="D80" s="19" t="s">
        <v>494</v>
      </c>
      <c r="E80" s="20" t="s">
        <v>495</v>
      </c>
      <c r="F80" s="21" t="s">
        <v>136</v>
      </c>
      <c r="G80" s="22">
        <v>9.6172000020000006</v>
      </c>
      <c r="H80" s="22">
        <f t="shared" si="1"/>
        <v>3.205733334</v>
      </c>
      <c r="I80" s="19" t="s">
        <v>123</v>
      </c>
      <c r="J80" s="19" t="s">
        <v>457</v>
      </c>
      <c r="K80" s="19" t="s">
        <v>124</v>
      </c>
      <c r="L80" s="21" t="s">
        <v>139</v>
      </c>
      <c r="M80" s="23">
        <v>2</v>
      </c>
      <c r="N80" s="21" t="s">
        <v>149</v>
      </c>
      <c r="O80" s="24" t="s">
        <v>134</v>
      </c>
      <c r="P80" s="25" t="s">
        <v>129</v>
      </c>
      <c r="Q80" s="19" t="s">
        <v>154</v>
      </c>
      <c r="R80" s="19" t="s">
        <v>496</v>
      </c>
      <c r="S80" s="25" t="s">
        <v>127</v>
      </c>
    </row>
    <row r="81" spans="1:19" ht="25" customHeight="1">
      <c r="A81" s="19" t="s">
        <v>73</v>
      </c>
      <c r="B81" s="20" t="s">
        <v>492</v>
      </c>
      <c r="C81" s="19" t="s">
        <v>493</v>
      </c>
      <c r="D81" s="19" t="s">
        <v>497</v>
      </c>
      <c r="E81" s="20" t="s">
        <v>211</v>
      </c>
      <c r="F81" s="21" t="s">
        <v>136</v>
      </c>
      <c r="G81" s="22">
        <v>6.10402400088</v>
      </c>
      <c r="H81" s="22">
        <f t="shared" si="1"/>
        <v>2.03467466696</v>
      </c>
      <c r="I81" s="19" t="s">
        <v>123</v>
      </c>
      <c r="J81" s="19" t="s">
        <v>186</v>
      </c>
      <c r="K81" s="19" t="s">
        <v>124</v>
      </c>
      <c r="L81" s="21" t="s">
        <v>139</v>
      </c>
      <c r="M81" s="23">
        <v>3</v>
      </c>
      <c r="N81" s="21" t="s">
        <v>140</v>
      </c>
      <c r="O81" s="24" t="s">
        <v>131</v>
      </c>
      <c r="P81" s="25" t="s">
        <v>129</v>
      </c>
      <c r="Q81" s="19" t="s">
        <v>154</v>
      </c>
      <c r="R81" s="19" t="s">
        <v>498</v>
      </c>
      <c r="S81" s="25" t="s">
        <v>127</v>
      </c>
    </row>
    <row r="82" spans="1:19" ht="25" customHeight="1">
      <c r="A82" s="19" t="s">
        <v>73</v>
      </c>
      <c r="B82" s="20" t="s">
        <v>492</v>
      </c>
      <c r="C82" s="19" t="s">
        <v>493</v>
      </c>
      <c r="D82" s="19" t="s">
        <v>499</v>
      </c>
      <c r="E82" s="20" t="s">
        <v>500</v>
      </c>
      <c r="F82" s="21" t="s">
        <v>136</v>
      </c>
      <c r="G82" s="22">
        <v>6.04864800017</v>
      </c>
      <c r="H82" s="22">
        <f t="shared" si="1"/>
        <v>2.0162160000566667</v>
      </c>
      <c r="I82" s="19" t="s">
        <v>123</v>
      </c>
      <c r="J82" s="19" t="s">
        <v>181</v>
      </c>
      <c r="K82" s="19" t="s">
        <v>124</v>
      </c>
      <c r="L82" s="21" t="s">
        <v>139</v>
      </c>
      <c r="M82" s="23">
        <v>7</v>
      </c>
      <c r="N82" s="21" t="s">
        <v>140</v>
      </c>
      <c r="O82" s="24" t="s">
        <v>128</v>
      </c>
      <c r="P82" s="25" t="s">
        <v>129</v>
      </c>
      <c r="Q82" s="19" t="s">
        <v>154</v>
      </c>
      <c r="R82" s="19" t="s">
        <v>501</v>
      </c>
      <c r="S82" s="25" t="s">
        <v>127</v>
      </c>
    </row>
    <row r="83" spans="1:19" ht="25" customHeight="1">
      <c r="A83" s="19" t="s">
        <v>73</v>
      </c>
      <c r="B83" s="20" t="s">
        <v>502</v>
      </c>
      <c r="C83" s="19" t="s">
        <v>503</v>
      </c>
      <c r="D83" s="19" t="s">
        <v>504</v>
      </c>
      <c r="E83" s="20" t="s">
        <v>505</v>
      </c>
      <c r="F83" s="21" t="s">
        <v>136</v>
      </c>
      <c r="G83" s="22">
        <v>11.789012001559998</v>
      </c>
      <c r="H83" s="22">
        <f t="shared" si="1"/>
        <v>3.9296706671866661</v>
      </c>
      <c r="I83" s="19" t="s">
        <v>123</v>
      </c>
      <c r="J83" s="19" t="s">
        <v>216</v>
      </c>
      <c r="K83" s="19" t="s">
        <v>124</v>
      </c>
      <c r="L83" s="21" t="s">
        <v>139</v>
      </c>
      <c r="M83" s="23">
        <v>2</v>
      </c>
      <c r="N83" s="21" t="s">
        <v>140</v>
      </c>
      <c r="O83" s="24" t="s">
        <v>134</v>
      </c>
      <c r="P83" s="25" t="s">
        <v>129</v>
      </c>
      <c r="Q83" s="19" t="s">
        <v>154</v>
      </c>
      <c r="R83" s="19" t="s">
        <v>506</v>
      </c>
      <c r="S83" s="25" t="s">
        <v>127</v>
      </c>
    </row>
    <row r="84" spans="1:19" ht="25" customHeight="1">
      <c r="A84" s="19" t="s">
        <v>73</v>
      </c>
      <c r="B84" s="20" t="s">
        <v>502</v>
      </c>
      <c r="C84" s="19" t="s">
        <v>503</v>
      </c>
      <c r="D84" s="19" t="s">
        <v>507</v>
      </c>
      <c r="E84" s="20" t="s">
        <v>508</v>
      </c>
      <c r="F84" s="21" t="s">
        <v>136</v>
      </c>
      <c r="G84" s="22">
        <v>11.104500002440002</v>
      </c>
      <c r="H84" s="22">
        <f t="shared" si="1"/>
        <v>3.7015000008133341</v>
      </c>
      <c r="I84" s="19" t="s">
        <v>123</v>
      </c>
      <c r="J84" s="19" t="s">
        <v>509</v>
      </c>
      <c r="K84" s="19" t="s">
        <v>124</v>
      </c>
      <c r="L84" s="21" t="s">
        <v>139</v>
      </c>
      <c r="M84" s="23">
        <v>3</v>
      </c>
      <c r="N84" s="21" t="s">
        <v>149</v>
      </c>
      <c r="O84" s="24" t="s">
        <v>131</v>
      </c>
      <c r="P84" s="25" t="s">
        <v>129</v>
      </c>
      <c r="Q84" s="19" t="s">
        <v>154</v>
      </c>
      <c r="R84" s="19" t="s">
        <v>510</v>
      </c>
      <c r="S84" s="25" t="s">
        <v>127</v>
      </c>
    </row>
    <row r="85" spans="1:19" ht="25" customHeight="1">
      <c r="A85" s="19" t="s">
        <v>73</v>
      </c>
      <c r="B85" s="20" t="s">
        <v>502</v>
      </c>
      <c r="C85" s="19" t="s">
        <v>503</v>
      </c>
      <c r="D85" s="19" t="s">
        <v>511</v>
      </c>
      <c r="E85" s="20" t="s">
        <v>512</v>
      </c>
      <c r="F85" s="21" t="s">
        <v>136</v>
      </c>
      <c r="G85" s="22">
        <v>7.3306840018299972</v>
      </c>
      <c r="H85" s="22">
        <f t="shared" si="1"/>
        <v>2.4435613339433324</v>
      </c>
      <c r="I85" s="19" t="s">
        <v>123</v>
      </c>
      <c r="J85" s="19" t="s">
        <v>207</v>
      </c>
      <c r="K85" s="19" t="s">
        <v>124</v>
      </c>
      <c r="L85" s="21" t="s">
        <v>139</v>
      </c>
      <c r="M85" s="23">
        <v>6</v>
      </c>
      <c r="N85" s="21" t="s">
        <v>149</v>
      </c>
      <c r="O85" s="24" t="s">
        <v>132</v>
      </c>
      <c r="P85" s="25" t="s">
        <v>129</v>
      </c>
      <c r="Q85" s="19" t="s">
        <v>154</v>
      </c>
      <c r="R85" s="19" t="s">
        <v>513</v>
      </c>
      <c r="S85" s="25" t="s">
        <v>127</v>
      </c>
    </row>
    <row r="86" spans="1:19" ht="25" customHeight="1">
      <c r="A86" s="19" t="s">
        <v>73</v>
      </c>
      <c r="B86" s="20" t="s">
        <v>502</v>
      </c>
      <c r="C86" s="19" t="s">
        <v>503</v>
      </c>
      <c r="D86" s="19" t="s">
        <v>514</v>
      </c>
      <c r="E86" s="20" t="s">
        <v>515</v>
      </c>
      <c r="F86" s="21" t="s">
        <v>136</v>
      </c>
      <c r="G86" s="22">
        <v>6.9260000013999985</v>
      </c>
      <c r="H86" s="22">
        <f t="shared" si="1"/>
        <v>2.3086666671333327</v>
      </c>
      <c r="I86" s="19" t="s">
        <v>123</v>
      </c>
      <c r="J86" s="19" t="s">
        <v>516</v>
      </c>
      <c r="K86" s="19" t="s">
        <v>124</v>
      </c>
      <c r="L86" s="21" t="s">
        <v>139</v>
      </c>
      <c r="M86" s="23">
        <v>3</v>
      </c>
      <c r="N86" s="21" t="s">
        <v>149</v>
      </c>
      <c r="O86" s="24" t="s">
        <v>131</v>
      </c>
      <c r="P86" s="25" t="s">
        <v>129</v>
      </c>
      <c r="Q86" s="19" t="s">
        <v>154</v>
      </c>
      <c r="R86" s="19" t="s">
        <v>517</v>
      </c>
      <c r="S86" s="25" t="s">
        <v>127</v>
      </c>
    </row>
    <row r="87" spans="1:19" ht="25" customHeight="1">
      <c r="A87" s="19" t="s">
        <v>73</v>
      </c>
      <c r="B87" s="20" t="s">
        <v>502</v>
      </c>
      <c r="C87" s="19" t="s">
        <v>503</v>
      </c>
      <c r="D87" s="19" t="s">
        <v>518</v>
      </c>
      <c r="E87" s="20" t="s">
        <v>519</v>
      </c>
      <c r="F87" s="21" t="s">
        <v>136</v>
      </c>
      <c r="G87" s="22">
        <v>6.8316480004799995</v>
      </c>
      <c r="H87" s="22">
        <f t="shared" si="1"/>
        <v>2.2772160001599997</v>
      </c>
      <c r="I87" s="19" t="s">
        <v>123</v>
      </c>
      <c r="J87" s="19" t="s">
        <v>194</v>
      </c>
      <c r="K87" s="19" t="s">
        <v>124</v>
      </c>
      <c r="L87" s="21" t="s">
        <v>139</v>
      </c>
      <c r="M87" s="23">
        <v>4</v>
      </c>
      <c r="N87" s="21" t="s">
        <v>140</v>
      </c>
      <c r="O87" s="24" t="s">
        <v>126</v>
      </c>
      <c r="P87" s="25" t="s">
        <v>129</v>
      </c>
      <c r="Q87" s="19" t="s">
        <v>154</v>
      </c>
      <c r="R87" s="19" t="s">
        <v>520</v>
      </c>
      <c r="S87" s="25" t="s">
        <v>127</v>
      </c>
    </row>
    <row r="88" spans="1:19" ht="25" customHeight="1">
      <c r="A88" s="19" t="s">
        <v>73</v>
      </c>
      <c r="B88" s="20" t="s">
        <v>502</v>
      </c>
      <c r="C88" s="19" t="s">
        <v>503</v>
      </c>
      <c r="D88" s="19" t="s">
        <v>521</v>
      </c>
      <c r="E88" s="20" t="s">
        <v>522</v>
      </c>
      <c r="F88" s="21" t="s">
        <v>136</v>
      </c>
      <c r="G88" s="22">
        <v>6.7840000028400009</v>
      </c>
      <c r="H88" s="22">
        <f t="shared" ref="H88:H107" si="2">G88/3</f>
        <v>2.2613333342800002</v>
      </c>
      <c r="I88" s="19" t="s">
        <v>123</v>
      </c>
      <c r="J88" s="19" t="s">
        <v>207</v>
      </c>
      <c r="K88" s="19" t="s">
        <v>124</v>
      </c>
      <c r="L88" s="21" t="s">
        <v>139</v>
      </c>
      <c r="M88" s="23">
        <v>5</v>
      </c>
      <c r="N88" s="21" t="s">
        <v>140</v>
      </c>
      <c r="O88" s="24" t="s">
        <v>135</v>
      </c>
      <c r="P88" s="25" t="s">
        <v>129</v>
      </c>
      <c r="Q88" s="19" t="s">
        <v>154</v>
      </c>
      <c r="R88" s="19" t="s">
        <v>523</v>
      </c>
      <c r="S88" s="25" t="s">
        <v>127</v>
      </c>
    </row>
    <row r="89" spans="1:19" ht="25" customHeight="1">
      <c r="A89" s="19" t="s">
        <v>73</v>
      </c>
      <c r="B89" s="20" t="s">
        <v>524</v>
      </c>
      <c r="C89" s="19" t="s">
        <v>525</v>
      </c>
      <c r="D89" s="19" t="s">
        <v>526</v>
      </c>
      <c r="E89" s="20" t="s">
        <v>527</v>
      </c>
      <c r="F89" s="21" t="s">
        <v>136</v>
      </c>
      <c r="G89" s="22">
        <v>9.2289280009800017</v>
      </c>
      <c r="H89" s="22">
        <f t="shared" si="2"/>
        <v>3.0763093336600007</v>
      </c>
      <c r="I89" s="19" t="s">
        <v>123</v>
      </c>
      <c r="J89" s="19" t="s">
        <v>528</v>
      </c>
      <c r="K89" s="19" t="s">
        <v>124</v>
      </c>
      <c r="L89" s="21" t="s">
        <v>139</v>
      </c>
      <c r="M89" s="23">
        <v>7</v>
      </c>
      <c r="N89" s="21" t="s">
        <v>140</v>
      </c>
      <c r="O89" s="24" t="s">
        <v>128</v>
      </c>
      <c r="P89" s="25" t="s">
        <v>129</v>
      </c>
      <c r="Q89" s="19" t="s">
        <v>160</v>
      </c>
      <c r="R89" s="19" t="s">
        <v>529</v>
      </c>
      <c r="S89" s="25" t="s">
        <v>127</v>
      </c>
    </row>
    <row r="90" spans="1:19" ht="25" customHeight="1">
      <c r="A90" s="19" t="s">
        <v>73</v>
      </c>
      <c r="B90" s="20" t="s">
        <v>524</v>
      </c>
      <c r="C90" s="19" t="s">
        <v>525</v>
      </c>
      <c r="D90" s="19" t="s">
        <v>530</v>
      </c>
      <c r="E90" s="20" t="s">
        <v>531</v>
      </c>
      <c r="F90" s="21" t="s">
        <v>136</v>
      </c>
      <c r="G90" s="22">
        <v>7.04840000052</v>
      </c>
      <c r="H90" s="22">
        <f t="shared" si="2"/>
        <v>2.3494666668400002</v>
      </c>
      <c r="I90" s="19" t="s">
        <v>123</v>
      </c>
      <c r="J90" s="19" t="s">
        <v>532</v>
      </c>
      <c r="K90" s="19" t="s">
        <v>124</v>
      </c>
      <c r="L90" s="21" t="s">
        <v>139</v>
      </c>
      <c r="M90" s="23">
        <v>2</v>
      </c>
      <c r="N90" s="21" t="s">
        <v>140</v>
      </c>
      <c r="O90" s="24" t="s">
        <v>134</v>
      </c>
      <c r="P90" s="25" t="s">
        <v>129</v>
      </c>
      <c r="Q90" s="19" t="s">
        <v>160</v>
      </c>
      <c r="R90" s="19" t="s">
        <v>533</v>
      </c>
      <c r="S90" s="25" t="s">
        <v>127</v>
      </c>
    </row>
    <row r="91" spans="1:19" ht="25" customHeight="1">
      <c r="A91" s="19" t="s">
        <v>73</v>
      </c>
      <c r="B91" s="20" t="s">
        <v>524</v>
      </c>
      <c r="C91" s="19" t="s">
        <v>525</v>
      </c>
      <c r="D91" s="19" t="s">
        <v>534</v>
      </c>
      <c r="E91" s="20" t="s">
        <v>535</v>
      </c>
      <c r="F91" s="21" t="s">
        <v>136</v>
      </c>
      <c r="G91" s="22">
        <v>6.5912000009000007</v>
      </c>
      <c r="H91" s="22">
        <f t="shared" si="2"/>
        <v>2.1970666669666667</v>
      </c>
      <c r="I91" s="19" t="s">
        <v>123</v>
      </c>
      <c r="J91" s="19" t="s">
        <v>179</v>
      </c>
      <c r="K91" s="19" t="s">
        <v>124</v>
      </c>
      <c r="L91" s="21" t="s">
        <v>139</v>
      </c>
      <c r="M91" s="23">
        <v>3</v>
      </c>
      <c r="N91" s="21" t="s">
        <v>149</v>
      </c>
      <c r="O91" s="24" t="s">
        <v>131</v>
      </c>
      <c r="P91" s="25" t="s">
        <v>129</v>
      </c>
      <c r="Q91" s="19" t="s">
        <v>160</v>
      </c>
      <c r="R91" s="19" t="s">
        <v>536</v>
      </c>
      <c r="S91" s="25" t="s">
        <v>127</v>
      </c>
    </row>
    <row r="92" spans="1:19" ht="25" customHeight="1">
      <c r="A92" s="19" t="s">
        <v>73</v>
      </c>
      <c r="B92" s="20" t="s">
        <v>524</v>
      </c>
      <c r="C92" s="19" t="s">
        <v>525</v>
      </c>
      <c r="D92" s="19" t="s">
        <v>537</v>
      </c>
      <c r="E92" s="20" t="s">
        <v>538</v>
      </c>
      <c r="F92" s="21" t="s">
        <v>136</v>
      </c>
      <c r="G92" s="22">
        <v>6.5053640014600003</v>
      </c>
      <c r="H92" s="22">
        <f t="shared" si="2"/>
        <v>2.1684546671533336</v>
      </c>
      <c r="I92" s="19" t="s">
        <v>123</v>
      </c>
      <c r="J92" s="19" t="s">
        <v>539</v>
      </c>
      <c r="K92" s="19" t="s">
        <v>124</v>
      </c>
      <c r="L92" s="21" t="s">
        <v>139</v>
      </c>
      <c r="M92" s="23">
        <v>2</v>
      </c>
      <c r="N92" s="21" t="s">
        <v>149</v>
      </c>
      <c r="O92" s="24" t="s">
        <v>134</v>
      </c>
      <c r="P92" s="25" t="s">
        <v>129</v>
      </c>
      <c r="Q92" s="19" t="s">
        <v>160</v>
      </c>
      <c r="R92" s="19" t="s">
        <v>540</v>
      </c>
      <c r="S92" s="25" t="s">
        <v>127</v>
      </c>
    </row>
    <row r="93" spans="1:19" ht="25" customHeight="1">
      <c r="A93" s="19" t="s">
        <v>73</v>
      </c>
      <c r="B93" s="20" t="s">
        <v>541</v>
      </c>
      <c r="C93" s="19" t="s">
        <v>542</v>
      </c>
      <c r="D93" s="19" t="s">
        <v>543</v>
      </c>
      <c r="E93" s="20" t="s">
        <v>544</v>
      </c>
      <c r="F93" s="21" t="s">
        <v>136</v>
      </c>
      <c r="G93" s="22">
        <v>10.875744001499999</v>
      </c>
      <c r="H93" s="22">
        <f t="shared" si="2"/>
        <v>3.6252480004999996</v>
      </c>
      <c r="I93" s="19" t="s">
        <v>123</v>
      </c>
      <c r="J93" s="19" t="s">
        <v>457</v>
      </c>
      <c r="K93" s="19" t="s">
        <v>124</v>
      </c>
      <c r="L93" s="21" t="s">
        <v>139</v>
      </c>
      <c r="M93" s="23">
        <v>4</v>
      </c>
      <c r="N93" s="21" t="s">
        <v>140</v>
      </c>
      <c r="O93" s="24" t="s">
        <v>126</v>
      </c>
      <c r="P93" s="25" t="s">
        <v>129</v>
      </c>
      <c r="Q93" s="19" t="s">
        <v>154</v>
      </c>
      <c r="R93" s="19" t="s">
        <v>545</v>
      </c>
      <c r="S93" s="25" t="s">
        <v>127</v>
      </c>
    </row>
    <row r="94" spans="1:19" ht="25" customHeight="1">
      <c r="A94" s="19" t="s">
        <v>73</v>
      </c>
      <c r="B94" s="20" t="s">
        <v>541</v>
      </c>
      <c r="C94" s="19" t="s">
        <v>542</v>
      </c>
      <c r="D94" s="19" t="s">
        <v>546</v>
      </c>
      <c r="E94" s="20" t="s">
        <v>547</v>
      </c>
      <c r="F94" s="21" t="s">
        <v>136</v>
      </c>
      <c r="G94" s="22">
        <v>9.9452680018299997</v>
      </c>
      <c r="H94" s="22">
        <f t="shared" si="2"/>
        <v>3.3150893339433334</v>
      </c>
      <c r="I94" s="19" t="s">
        <v>123</v>
      </c>
      <c r="J94" s="19" t="s">
        <v>192</v>
      </c>
      <c r="K94" s="19" t="s">
        <v>124</v>
      </c>
      <c r="L94" s="21" t="s">
        <v>139</v>
      </c>
      <c r="M94" s="23">
        <v>7</v>
      </c>
      <c r="N94" s="21" t="s">
        <v>149</v>
      </c>
      <c r="O94" s="24" t="s">
        <v>128</v>
      </c>
      <c r="P94" s="25" t="s">
        <v>129</v>
      </c>
      <c r="Q94" s="19" t="s">
        <v>154</v>
      </c>
      <c r="R94" s="19" t="s">
        <v>548</v>
      </c>
      <c r="S94" s="25" t="s">
        <v>127</v>
      </c>
    </row>
    <row r="95" spans="1:19" ht="25" customHeight="1">
      <c r="A95" s="19" t="s">
        <v>73</v>
      </c>
      <c r="B95" s="20" t="s">
        <v>541</v>
      </c>
      <c r="C95" s="19" t="s">
        <v>542</v>
      </c>
      <c r="D95" s="19" t="s">
        <v>549</v>
      </c>
      <c r="E95" s="20" t="s">
        <v>550</v>
      </c>
      <c r="F95" s="21" t="s">
        <v>136</v>
      </c>
      <c r="G95" s="22">
        <v>8.8766000007999981</v>
      </c>
      <c r="H95" s="22">
        <f t="shared" si="2"/>
        <v>2.9588666669333326</v>
      </c>
      <c r="I95" s="19" t="s">
        <v>123</v>
      </c>
      <c r="J95" s="19" t="s">
        <v>197</v>
      </c>
      <c r="K95" s="19" t="s">
        <v>124</v>
      </c>
      <c r="L95" s="21" t="s">
        <v>139</v>
      </c>
      <c r="M95" s="23">
        <v>6</v>
      </c>
      <c r="N95" s="21" t="s">
        <v>140</v>
      </c>
      <c r="O95" s="24" t="s">
        <v>132</v>
      </c>
      <c r="P95" s="25" t="s">
        <v>129</v>
      </c>
      <c r="Q95" s="19" t="s">
        <v>154</v>
      </c>
      <c r="R95" s="19" t="s">
        <v>551</v>
      </c>
      <c r="S95" s="25" t="s">
        <v>127</v>
      </c>
    </row>
    <row r="96" spans="1:19" ht="25" customHeight="1">
      <c r="A96" s="19" t="s">
        <v>73</v>
      </c>
      <c r="B96" s="20" t="s">
        <v>541</v>
      </c>
      <c r="C96" s="19" t="s">
        <v>542</v>
      </c>
      <c r="D96" s="19" t="s">
        <v>552</v>
      </c>
      <c r="E96" s="20" t="s">
        <v>553</v>
      </c>
      <c r="F96" s="21" t="s">
        <v>136</v>
      </c>
      <c r="G96" s="22">
        <v>7.8594000011199991</v>
      </c>
      <c r="H96" s="22">
        <f t="shared" si="2"/>
        <v>2.619800000373333</v>
      </c>
      <c r="I96" s="19" t="s">
        <v>123</v>
      </c>
      <c r="J96" s="19" t="s">
        <v>554</v>
      </c>
      <c r="K96" s="19" t="s">
        <v>138</v>
      </c>
      <c r="L96" s="21" t="s">
        <v>139</v>
      </c>
      <c r="M96" s="23">
        <v>2</v>
      </c>
      <c r="N96" s="21" t="s">
        <v>140</v>
      </c>
      <c r="O96" s="24" t="s">
        <v>134</v>
      </c>
      <c r="P96" s="25" t="s">
        <v>129</v>
      </c>
      <c r="Q96" s="19" t="s">
        <v>154</v>
      </c>
      <c r="R96" s="19" t="s">
        <v>555</v>
      </c>
      <c r="S96" s="25" t="s">
        <v>127</v>
      </c>
    </row>
    <row r="97" spans="1:19" ht="25" customHeight="1">
      <c r="A97" s="19" t="s">
        <v>73</v>
      </c>
      <c r="B97" s="20" t="s">
        <v>541</v>
      </c>
      <c r="C97" s="19" t="s">
        <v>542</v>
      </c>
      <c r="D97" s="19" t="s">
        <v>556</v>
      </c>
      <c r="E97" s="20" t="s">
        <v>557</v>
      </c>
      <c r="F97" s="21" t="s">
        <v>136</v>
      </c>
      <c r="G97" s="22">
        <v>6.8768960006600004</v>
      </c>
      <c r="H97" s="22">
        <f t="shared" si="2"/>
        <v>2.2922986668866669</v>
      </c>
      <c r="I97" s="19" t="s">
        <v>123</v>
      </c>
      <c r="J97" s="19" t="s">
        <v>186</v>
      </c>
      <c r="K97" s="19" t="s">
        <v>124</v>
      </c>
      <c r="L97" s="21" t="s">
        <v>139</v>
      </c>
      <c r="M97" s="23">
        <v>6</v>
      </c>
      <c r="N97" s="21" t="s">
        <v>149</v>
      </c>
      <c r="O97" s="24" t="s">
        <v>132</v>
      </c>
      <c r="P97" s="25" t="s">
        <v>129</v>
      </c>
      <c r="Q97" s="19" t="s">
        <v>154</v>
      </c>
      <c r="R97" s="19" t="s">
        <v>558</v>
      </c>
      <c r="S97" s="25" t="s">
        <v>127</v>
      </c>
    </row>
    <row r="98" spans="1:19" ht="25" customHeight="1">
      <c r="A98" s="19" t="s">
        <v>73</v>
      </c>
      <c r="B98" s="20" t="s">
        <v>541</v>
      </c>
      <c r="C98" s="19" t="s">
        <v>542</v>
      </c>
      <c r="D98" s="19" t="s">
        <v>559</v>
      </c>
      <c r="E98" s="20" t="s">
        <v>560</v>
      </c>
      <c r="F98" s="21" t="s">
        <v>136</v>
      </c>
      <c r="G98" s="22">
        <v>6.3512280015899991</v>
      </c>
      <c r="H98" s="22">
        <f t="shared" si="2"/>
        <v>2.1170760005299996</v>
      </c>
      <c r="I98" s="19" t="s">
        <v>123</v>
      </c>
      <c r="J98" s="19" t="s">
        <v>199</v>
      </c>
      <c r="K98" s="19" t="s">
        <v>124</v>
      </c>
      <c r="L98" s="21" t="s">
        <v>139</v>
      </c>
      <c r="M98" s="23">
        <v>4</v>
      </c>
      <c r="N98" s="21" t="s">
        <v>149</v>
      </c>
      <c r="O98" s="24" t="s">
        <v>126</v>
      </c>
      <c r="P98" s="25" t="s">
        <v>129</v>
      </c>
      <c r="Q98" s="19" t="s">
        <v>154</v>
      </c>
      <c r="R98" s="19" t="s">
        <v>561</v>
      </c>
      <c r="S98" s="25" t="s">
        <v>127</v>
      </c>
    </row>
    <row r="99" spans="1:19" ht="25" customHeight="1">
      <c r="A99" s="19" t="s">
        <v>73</v>
      </c>
      <c r="B99" s="20" t="s">
        <v>541</v>
      </c>
      <c r="C99" s="19" t="s">
        <v>542</v>
      </c>
      <c r="D99" s="19" t="s">
        <v>562</v>
      </c>
      <c r="E99" s="20" t="s">
        <v>563</v>
      </c>
      <c r="F99" s="21" t="s">
        <v>136</v>
      </c>
      <c r="G99" s="22">
        <v>6.2566000018800008</v>
      </c>
      <c r="H99" s="22">
        <f t="shared" si="2"/>
        <v>2.0855333339600004</v>
      </c>
      <c r="I99" s="19" t="s">
        <v>123</v>
      </c>
      <c r="J99" s="19" t="s">
        <v>201</v>
      </c>
      <c r="K99" s="19" t="s">
        <v>124</v>
      </c>
      <c r="L99" s="21" t="s">
        <v>139</v>
      </c>
      <c r="M99" s="23">
        <v>5</v>
      </c>
      <c r="N99" s="21" t="s">
        <v>149</v>
      </c>
      <c r="O99" s="24" t="s">
        <v>135</v>
      </c>
      <c r="P99" s="25" t="s">
        <v>129</v>
      </c>
      <c r="Q99" s="19" t="s">
        <v>154</v>
      </c>
      <c r="R99" s="19" t="s">
        <v>564</v>
      </c>
      <c r="S99" s="25" t="s">
        <v>127</v>
      </c>
    </row>
    <row r="100" spans="1:19" ht="25" customHeight="1">
      <c r="A100" s="19" t="s">
        <v>73</v>
      </c>
      <c r="B100" s="20" t="s">
        <v>565</v>
      </c>
      <c r="C100" s="19" t="s">
        <v>566</v>
      </c>
      <c r="D100" s="19" t="s">
        <v>567</v>
      </c>
      <c r="E100" s="20" t="s">
        <v>568</v>
      </c>
      <c r="F100" s="21" t="s">
        <v>136</v>
      </c>
      <c r="G100" s="22">
        <v>18.317400000270002</v>
      </c>
      <c r="H100" s="22">
        <f t="shared" si="2"/>
        <v>6.1058000000900003</v>
      </c>
      <c r="I100" s="19" t="s">
        <v>123</v>
      </c>
      <c r="J100" s="19" t="s">
        <v>178</v>
      </c>
      <c r="K100" s="19" t="s">
        <v>124</v>
      </c>
      <c r="L100" s="21" t="s">
        <v>139</v>
      </c>
      <c r="M100" s="23">
        <v>5</v>
      </c>
      <c r="N100" s="21" t="s">
        <v>140</v>
      </c>
      <c r="O100" s="24" t="s">
        <v>135</v>
      </c>
      <c r="P100" s="25" t="s">
        <v>129</v>
      </c>
      <c r="Q100" s="19" t="s">
        <v>154</v>
      </c>
      <c r="R100" s="19" t="s">
        <v>569</v>
      </c>
      <c r="S100" s="25" t="s">
        <v>127</v>
      </c>
    </row>
    <row r="101" spans="1:19" ht="25" customHeight="1">
      <c r="A101" s="19" t="s">
        <v>73</v>
      </c>
      <c r="B101" s="20" t="s">
        <v>565</v>
      </c>
      <c r="C101" s="19" t="s">
        <v>566</v>
      </c>
      <c r="D101" s="19" t="s">
        <v>570</v>
      </c>
      <c r="E101" s="20" t="s">
        <v>571</v>
      </c>
      <c r="F101" s="21" t="s">
        <v>136</v>
      </c>
      <c r="G101" s="22">
        <v>8.6420480020599992</v>
      </c>
      <c r="H101" s="22">
        <f t="shared" si="2"/>
        <v>2.8806826673533332</v>
      </c>
      <c r="I101" s="19" t="s">
        <v>123</v>
      </c>
      <c r="J101" s="19" t="s">
        <v>207</v>
      </c>
      <c r="K101" s="19" t="s">
        <v>124</v>
      </c>
      <c r="L101" s="21" t="s">
        <v>139</v>
      </c>
      <c r="M101" s="23">
        <v>2</v>
      </c>
      <c r="N101" s="21" t="s">
        <v>140</v>
      </c>
      <c r="O101" s="24" t="s">
        <v>134</v>
      </c>
      <c r="P101" s="25" t="s">
        <v>129</v>
      </c>
      <c r="Q101" s="19" t="s">
        <v>154</v>
      </c>
      <c r="R101" s="19" t="s">
        <v>572</v>
      </c>
      <c r="S101" s="25" t="s">
        <v>127</v>
      </c>
    </row>
    <row r="102" spans="1:19" ht="25" customHeight="1">
      <c r="A102" s="19" t="s">
        <v>73</v>
      </c>
      <c r="B102" s="20" t="s">
        <v>565</v>
      </c>
      <c r="C102" s="19" t="s">
        <v>566</v>
      </c>
      <c r="D102" s="19" t="s">
        <v>573</v>
      </c>
      <c r="E102" s="20" t="s">
        <v>574</v>
      </c>
      <c r="F102" s="21" t="s">
        <v>136</v>
      </c>
      <c r="G102" s="22">
        <v>8.4629999999999992</v>
      </c>
      <c r="H102" s="22">
        <f t="shared" si="2"/>
        <v>2.8209999999999997</v>
      </c>
      <c r="I102" s="19" t="s">
        <v>123</v>
      </c>
      <c r="J102" s="19" t="s">
        <v>575</v>
      </c>
      <c r="K102" s="19" t="s">
        <v>124</v>
      </c>
      <c r="L102" s="21" t="s">
        <v>139</v>
      </c>
      <c r="M102" s="23">
        <v>5</v>
      </c>
      <c r="N102" s="21" t="s">
        <v>149</v>
      </c>
      <c r="O102" s="24" t="s">
        <v>135</v>
      </c>
      <c r="P102" s="25" t="s">
        <v>129</v>
      </c>
      <c r="Q102" s="19" t="s">
        <v>154</v>
      </c>
      <c r="R102" s="19" t="s">
        <v>576</v>
      </c>
      <c r="S102" s="25" t="s">
        <v>127</v>
      </c>
    </row>
    <row r="103" spans="1:19" ht="25" customHeight="1">
      <c r="A103" s="19" t="s">
        <v>73</v>
      </c>
      <c r="B103" s="20" t="s">
        <v>565</v>
      </c>
      <c r="C103" s="19" t="s">
        <v>566</v>
      </c>
      <c r="D103" s="19" t="s">
        <v>577</v>
      </c>
      <c r="E103" s="20" t="s">
        <v>578</v>
      </c>
      <c r="F103" s="21" t="s">
        <v>136</v>
      </c>
      <c r="G103" s="22">
        <v>6.8162000019599978</v>
      </c>
      <c r="H103" s="22">
        <f t="shared" si="2"/>
        <v>2.2720666673199994</v>
      </c>
      <c r="I103" s="19" t="s">
        <v>123</v>
      </c>
      <c r="J103" s="19" t="s">
        <v>579</v>
      </c>
      <c r="K103" s="19" t="s">
        <v>124</v>
      </c>
      <c r="L103" s="21" t="s">
        <v>139</v>
      </c>
      <c r="M103" s="23">
        <v>4</v>
      </c>
      <c r="N103" s="21" t="s">
        <v>140</v>
      </c>
      <c r="O103" s="24" t="s">
        <v>126</v>
      </c>
      <c r="P103" s="25" t="s">
        <v>129</v>
      </c>
      <c r="Q103" s="19" t="s">
        <v>154</v>
      </c>
      <c r="R103" s="19" t="s">
        <v>580</v>
      </c>
      <c r="S103" s="25" t="s">
        <v>127</v>
      </c>
    </row>
    <row r="104" spans="1:19" ht="25" customHeight="1">
      <c r="A104" s="19" t="s">
        <v>73</v>
      </c>
      <c r="B104" s="20" t="s">
        <v>565</v>
      </c>
      <c r="C104" s="19" t="s">
        <v>566</v>
      </c>
      <c r="D104" s="19" t="s">
        <v>581</v>
      </c>
      <c r="E104" s="20" t="s">
        <v>582</v>
      </c>
      <c r="F104" s="21" t="s">
        <v>136</v>
      </c>
      <c r="G104" s="22">
        <v>6.7112560011599998</v>
      </c>
      <c r="H104" s="22">
        <f t="shared" si="2"/>
        <v>2.2370853337200001</v>
      </c>
      <c r="I104" s="19" t="s">
        <v>123</v>
      </c>
      <c r="J104" s="19" t="s">
        <v>217</v>
      </c>
      <c r="K104" s="19" t="s">
        <v>124</v>
      </c>
      <c r="L104" s="21" t="s">
        <v>139</v>
      </c>
      <c r="M104" s="23">
        <v>2</v>
      </c>
      <c r="N104" s="21" t="s">
        <v>149</v>
      </c>
      <c r="O104" s="24" t="s">
        <v>134</v>
      </c>
      <c r="P104" s="25" t="s">
        <v>129</v>
      </c>
      <c r="Q104" s="19" t="s">
        <v>154</v>
      </c>
      <c r="R104" s="19" t="s">
        <v>583</v>
      </c>
      <c r="S104" s="25" t="s">
        <v>127</v>
      </c>
    </row>
    <row r="105" spans="1:19" ht="25" customHeight="1">
      <c r="A105" s="19" t="s">
        <v>73</v>
      </c>
      <c r="B105" s="20" t="s">
        <v>565</v>
      </c>
      <c r="C105" s="19" t="s">
        <v>566</v>
      </c>
      <c r="D105" s="19" t="s">
        <v>584</v>
      </c>
      <c r="E105" s="20" t="s">
        <v>585</v>
      </c>
      <c r="F105" s="21" t="s">
        <v>136</v>
      </c>
      <c r="G105" s="22">
        <v>6.1274000021199981</v>
      </c>
      <c r="H105" s="22">
        <f t="shared" si="2"/>
        <v>2.0424666673733327</v>
      </c>
      <c r="I105" s="19" t="s">
        <v>123</v>
      </c>
      <c r="J105" s="19" t="s">
        <v>182</v>
      </c>
      <c r="K105" s="19" t="s">
        <v>124</v>
      </c>
      <c r="L105" s="21" t="s">
        <v>139</v>
      </c>
      <c r="M105" s="23">
        <v>7</v>
      </c>
      <c r="N105" s="21" t="s">
        <v>140</v>
      </c>
      <c r="O105" s="24" t="s">
        <v>128</v>
      </c>
      <c r="P105" s="25" t="s">
        <v>129</v>
      </c>
      <c r="Q105" s="19" t="s">
        <v>154</v>
      </c>
      <c r="R105" s="19" t="s">
        <v>586</v>
      </c>
      <c r="S105" s="25" t="s">
        <v>127</v>
      </c>
    </row>
    <row r="106" spans="1:19" ht="25" customHeight="1">
      <c r="A106" s="19" t="s">
        <v>73</v>
      </c>
      <c r="B106" s="20" t="s">
        <v>79</v>
      </c>
      <c r="C106" s="19" t="s">
        <v>174</v>
      </c>
      <c r="D106" s="19" t="s">
        <v>587</v>
      </c>
      <c r="E106" s="20" t="s">
        <v>588</v>
      </c>
      <c r="F106" s="21" t="s">
        <v>136</v>
      </c>
      <c r="G106" s="22">
        <v>13.114736002879999</v>
      </c>
      <c r="H106" s="22">
        <f t="shared" si="2"/>
        <v>4.3715786676266664</v>
      </c>
      <c r="I106" s="19" t="s">
        <v>123</v>
      </c>
      <c r="J106" s="19" t="s">
        <v>457</v>
      </c>
      <c r="K106" s="19" t="s">
        <v>124</v>
      </c>
      <c r="L106" s="21" t="s">
        <v>139</v>
      </c>
      <c r="M106" s="23">
        <v>3</v>
      </c>
      <c r="N106" s="21" t="s">
        <v>149</v>
      </c>
      <c r="O106" s="24" t="s">
        <v>131</v>
      </c>
      <c r="P106" s="25" t="s">
        <v>129</v>
      </c>
      <c r="Q106" s="19" t="s">
        <v>160</v>
      </c>
      <c r="R106" s="19" t="s">
        <v>589</v>
      </c>
      <c r="S106" s="25" t="s">
        <v>127</v>
      </c>
    </row>
    <row r="107" spans="1:19" ht="25" customHeight="1">
      <c r="A107" s="19" t="s">
        <v>73</v>
      </c>
      <c r="B107" s="20" t="s">
        <v>79</v>
      </c>
      <c r="C107" s="19" t="s">
        <v>174</v>
      </c>
      <c r="D107" s="19" t="s">
        <v>590</v>
      </c>
      <c r="E107" s="20" t="s">
        <v>591</v>
      </c>
      <c r="F107" s="21" t="s">
        <v>136</v>
      </c>
      <c r="G107" s="22">
        <v>8.6264000036199988</v>
      </c>
      <c r="H107" s="22">
        <f t="shared" si="2"/>
        <v>2.8754666678733329</v>
      </c>
      <c r="I107" s="19" t="s">
        <v>123</v>
      </c>
      <c r="J107" s="19" t="s">
        <v>592</v>
      </c>
      <c r="K107" s="19" t="s">
        <v>124</v>
      </c>
      <c r="L107" s="21" t="s">
        <v>139</v>
      </c>
      <c r="M107" s="23">
        <v>3</v>
      </c>
      <c r="N107" s="21" t="s">
        <v>140</v>
      </c>
      <c r="O107" s="24" t="s">
        <v>131</v>
      </c>
      <c r="P107" s="25" t="s">
        <v>129</v>
      </c>
      <c r="Q107" s="19" t="s">
        <v>160</v>
      </c>
      <c r="R107" s="19" t="s">
        <v>593</v>
      </c>
      <c r="S107" s="25" t="s">
        <v>127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NPP Sup DDKD</vt:lpstr>
      <vt:lpstr>F4</vt:lpstr>
      <vt:lpstr>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Chien Le Minh</cp:lastModifiedBy>
  <dcterms:modified xsi:type="dcterms:W3CDTF">2026-10-05T12:50:30Z</dcterms:modified>
</cp:coreProperties>
</file>